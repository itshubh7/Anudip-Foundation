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<sst xmlns="http://schemas.openxmlformats.org/spreadsheetml/2006/main" count="170" uniqueCount="31">
  <si>
    <t>ProductID</t>
  </si>
  <si>
    <t>Product</t>
  </si>
  <si>
    <t>Sales</t>
  </si>
  <si>
    <t>Target</t>
  </si>
  <si>
    <t>Region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</si>
  <si>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</si>
  <si>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</si>
  <si>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</si>
  <si>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</si>
  <si>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</si>
  <si>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</si>
  <si>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</si>
  <si>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</si>
  <si>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</si>
  <si>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</si>
  <si>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1. Use the IF function to evaluate whether each product met its sales target.</t>
  </si>
  <si>
    <t>2. Use the IF function to determine if a product is eligible for a regional bonus. Products in the "North" region with sales over 200 are eligible.</t>
  </si>
  <si>
    <t>Regional Bonus</t>
  </si>
  <si>
    <t>3. Use nested IF functions to assign a commission rate based on sales. Sales &gt;= 200 get a 10% commission, sales &gt;= 150 get a 7% commission, and others get a 5% commission.</t>
  </si>
  <si>
    <t>Commission Rate</t>
  </si>
  <si>
    <t>4. Use the IF function to calculate a bonus amount. If sales met or exceeded the target, the bonus is 10% of the sales; otherwise, it's 5%.</t>
  </si>
  <si>
    <t>Bonus (Percentage)</t>
  </si>
  <si>
    <t>Bonus (Amount)</t>
  </si>
  <si>
    <t>5. Use the IF function to categorize sales performance as "Excellent" (&gt;=200), "Good" (&gt;=150), or "Needs Improvement" (&lt;150).</t>
  </si>
  <si>
    <t>Performance</t>
  </si>
  <si>
    <t>6. Use the IF function to assign a price tier based on the sales value. "High" for sales &gt; 200, "Medium" for sales between 100 and 200, and "Low" for sales &lt; 100.</t>
  </si>
  <si>
    <t>Price Tier</t>
  </si>
  <si>
    <t>7. Use the IF function to calculate the year-end bonus. If sales &gt;= 150 and region is "North", the bonus is $500, otherwise, it's $300.</t>
  </si>
  <si>
    <t>Year-End Bonus</t>
  </si>
  <si>
    <t>8. Use the IF function to mark high performers. A product is a high performer if its sales are in the top 25% of all sales.</t>
  </si>
  <si>
    <t>Performer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</si>
</sst>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1" fillId="0" borderId="0" xfId="0" applyFont="1"/>
    <xf numFmtId="0" fontId="2" fillId="3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89"/>
  <sheetViews>
    <sheetView tabSelected="1" topLeftCell="A76" workbookViewId="0">
      <selection activeCell="G84" sqref="G84:G89"/>
    </sheetView>
  </sheetViews>
  <sheetFormatPr defaultColWidth="9" defaultRowHeight="15"/>
  <cols>
    <col min="7" max="7" width="19.5714285714286" customWidth="1"/>
    <col min="8" max="8" width="15.5714285714286" customWidth="1"/>
  </cols>
  <sheetData>
    <row r="2" spans="2:6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>
      <c r="B3" s="2">
        <v>101</v>
      </c>
      <c r="C3" s="2" t="s">
        <v>5</v>
      </c>
      <c r="D3" s="2">
        <v>120</v>
      </c>
      <c r="E3" s="2">
        <v>150</v>
      </c>
      <c r="F3" s="2" t="s">
        <v>6</v>
      </c>
    </row>
    <row r="4" spans="2:6">
      <c r="B4" s="2">
        <v>102</v>
      </c>
      <c r="C4" s="2" t="s">
        <v>7</v>
      </c>
      <c r="D4" s="2">
        <v>150</v>
      </c>
      <c r="E4" s="2">
        <v>140</v>
      </c>
      <c r="F4" s="2" t="s">
        <v>8</v>
      </c>
    </row>
    <row r="5" spans="2:6">
      <c r="B5" s="2">
        <v>103</v>
      </c>
      <c r="C5" s="2" t="s">
        <v>9</v>
      </c>
      <c r="D5" s="2">
        <v>200</v>
      </c>
      <c r="E5" s="2">
        <v>200</v>
      </c>
      <c r="F5" s="2" t="s">
        <v>10</v>
      </c>
    </row>
    <row r="6" spans="2:6">
      <c r="B6" s="2">
        <v>104</v>
      </c>
      <c r="C6" s="2" t="s">
        <v>11</v>
      </c>
      <c r="D6" s="2">
        <v>90</v>
      </c>
      <c r="E6" s="2">
        <v>100</v>
      </c>
      <c r="F6" s="2" t="s">
        <v>12</v>
      </c>
    </row>
    <row r="7" spans="2:6">
      <c r="B7" s="2">
        <v>105</v>
      </c>
      <c r="C7" s="2" t="s">
        <v>13</v>
      </c>
      <c r="D7" s="2">
        <v>220</v>
      </c>
      <c r="E7" s="2">
        <v>210</v>
      </c>
      <c r="F7" s="2" t="s">
        <v>6</v>
      </c>
    </row>
    <row r="8" spans="2:6">
      <c r="B8" s="2">
        <v>106</v>
      </c>
      <c r="C8" s="2" t="s">
        <v>14</v>
      </c>
      <c r="D8" s="2">
        <v>130</v>
      </c>
      <c r="E8" s="2">
        <v>160</v>
      </c>
      <c r="F8" s="2" t="s">
        <v>8</v>
      </c>
    </row>
    <row r="11" spans="2:9">
      <c r="B11" s="3" t="s">
        <v>15</v>
      </c>
      <c r="C11" s="3"/>
      <c r="D11" s="3"/>
      <c r="E11" s="3"/>
      <c r="F11" s="3"/>
      <c r="G11" s="3"/>
      <c r="H11" s="3"/>
      <c r="I11" s="3"/>
    </row>
    <row r="13" spans="2:7"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3</v>
      </c>
    </row>
    <row r="14" spans="2:7">
      <c r="B14" s="2">
        <v>101</v>
      </c>
      <c r="C14" s="2" t="s">
        <v>5</v>
      </c>
      <c r="D14" s="2">
        <v>120</v>
      </c>
      <c r="E14" s="2">
        <v>150</v>
      </c>
      <c r="F14" s="2" t="s">
        <v>6</v>
      </c>
      <c r="G14" s="4" t="str">
        <f>IF(OR(E14=D14,E14&lt;D14),"Met","Not Met")</f>
        <v>Not Met</v>
      </c>
    </row>
    <row r="15" spans="2:7">
      <c r="B15" s="2">
        <v>102</v>
      </c>
      <c r="C15" s="2" t="s">
        <v>7</v>
      </c>
      <c r="D15" s="2">
        <v>150</v>
      </c>
      <c r="E15" s="2">
        <v>140</v>
      </c>
      <c r="F15" s="2" t="s">
        <v>8</v>
      </c>
      <c r="G15" s="4" t="str">
        <f t="shared" ref="G15:G19" si="0">IF(OR(E15=D15,E15&lt;D15),"Met","Not Met")</f>
        <v>Met</v>
      </c>
    </row>
    <row r="16" spans="2:7">
      <c r="B16" s="2">
        <v>103</v>
      </c>
      <c r="C16" s="2" t="s">
        <v>9</v>
      </c>
      <c r="D16" s="2">
        <v>200</v>
      </c>
      <c r="E16" s="2">
        <v>200</v>
      </c>
      <c r="F16" s="2" t="s">
        <v>10</v>
      </c>
      <c r="G16" s="4" t="str">
        <f t="shared" si="0"/>
        <v>Met</v>
      </c>
    </row>
    <row r="17" spans="2:7">
      <c r="B17" s="2">
        <v>104</v>
      </c>
      <c r="C17" s="2" t="s">
        <v>11</v>
      </c>
      <c r="D17" s="2">
        <v>90</v>
      </c>
      <c r="E17" s="2">
        <v>100</v>
      </c>
      <c r="F17" s="2" t="s">
        <v>12</v>
      </c>
      <c r="G17" s="4" t="str">
        <f t="shared" si="0"/>
        <v>Not Met</v>
      </c>
    </row>
    <row r="18" spans="2:7">
      <c r="B18" s="2">
        <v>105</v>
      </c>
      <c r="C18" s="2" t="s">
        <v>13</v>
      </c>
      <c r="D18" s="2">
        <v>220</v>
      </c>
      <c r="E18" s="2">
        <v>210</v>
      </c>
      <c r="F18" s="2" t="s">
        <v>6</v>
      </c>
      <c r="G18" s="4" t="str">
        <f t="shared" si="0"/>
        <v>Met</v>
      </c>
    </row>
    <row r="19" spans="2:7">
      <c r="B19" s="2">
        <v>106</v>
      </c>
      <c r="C19" s="2" t="s">
        <v>14</v>
      </c>
      <c r="D19" s="2">
        <v>130</v>
      </c>
      <c r="E19" s="2">
        <v>160</v>
      </c>
      <c r="F19" s="2" t="s">
        <v>8</v>
      </c>
      <c r="G19" s="4" t="str">
        <f t="shared" si="0"/>
        <v>Not Met</v>
      </c>
    </row>
    <row r="21" spans="2:15">
      <c r="B21" s="3" t="s">
        <v>16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3" spans="2:7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17</v>
      </c>
    </row>
    <row r="24" spans="2:7">
      <c r="B24" s="2">
        <v>101</v>
      </c>
      <c r="C24" s="2" t="s">
        <v>5</v>
      </c>
      <c r="D24" s="2">
        <v>120</v>
      </c>
      <c r="E24" s="2">
        <v>150</v>
      </c>
      <c r="F24" s="2" t="s">
        <v>6</v>
      </c>
      <c r="G24" s="2" t="str">
        <f>IF(AND(F24="North",D24&gt;200),"Eligible","Not Eligible")</f>
        <v>Not Eligible</v>
      </c>
    </row>
    <row r="25" spans="2:7">
      <c r="B25" s="2">
        <v>102</v>
      </c>
      <c r="C25" s="2" t="s">
        <v>7</v>
      </c>
      <c r="D25" s="2">
        <v>150</v>
      </c>
      <c r="E25" s="2">
        <v>140</v>
      </c>
      <c r="F25" s="2" t="s">
        <v>8</v>
      </c>
      <c r="G25" s="2" t="str">
        <f t="shared" ref="G25:G29" si="1">IF(AND(F25="North",D25&gt;200),"Eligible","Not Eligible")</f>
        <v>Not Eligible</v>
      </c>
    </row>
    <row r="26" spans="2:7">
      <c r="B26" s="2">
        <v>103</v>
      </c>
      <c r="C26" s="2" t="s">
        <v>9</v>
      </c>
      <c r="D26" s="2">
        <v>200</v>
      </c>
      <c r="E26" s="2">
        <v>200</v>
      </c>
      <c r="F26" s="2" t="s">
        <v>10</v>
      </c>
      <c r="G26" s="2" t="str">
        <f t="shared" si="1"/>
        <v>Not Eligible</v>
      </c>
    </row>
    <row r="27" spans="2:7">
      <c r="B27" s="2">
        <v>104</v>
      </c>
      <c r="C27" s="2" t="s">
        <v>11</v>
      </c>
      <c r="D27" s="2">
        <v>90</v>
      </c>
      <c r="E27" s="2">
        <v>100</v>
      </c>
      <c r="F27" s="2" t="s">
        <v>12</v>
      </c>
      <c r="G27" s="2" t="str">
        <f t="shared" si="1"/>
        <v>Not Eligible</v>
      </c>
    </row>
    <row r="28" spans="2:7">
      <c r="B28" s="2">
        <v>105</v>
      </c>
      <c r="C28" s="2" t="s">
        <v>13</v>
      </c>
      <c r="D28" s="2">
        <v>220</v>
      </c>
      <c r="E28" s="2">
        <v>210</v>
      </c>
      <c r="F28" s="2" t="s">
        <v>6</v>
      </c>
      <c r="G28" s="2" t="str">
        <f t="shared" si="1"/>
        <v>Eligible</v>
      </c>
    </row>
    <row r="29" spans="2:7">
      <c r="B29" s="2">
        <v>106</v>
      </c>
      <c r="C29" s="2" t="s">
        <v>14</v>
      </c>
      <c r="D29" s="2">
        <v>130</v>
      </c>
      <c r="E29" s="2">
        <v>160</v>
      </c>
      <c r="F29" s="2" t="s">
        <v>8</v>
      </c>
      <c r="G29" s="2" t="str">
        <f t="shared" si="1"/>
        <v>Not Eligible</v>
      </c>
    </row>
    <row r="31" spans="2:18">
      <c r="B31" s="3" t="s">
        <v>18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3" spans="2:7">
      <c r="B33" s="1" t="s">
        <v>0</v>
      </c>
      <c r="C33" s="1" t="s">
        <v>1</v>
      </c>
      <c r="D33" s="1" t="s">
        <v>2</v>
      </c>
      <c r="E33" s="1" t="s">
        <v>3</v>
      </c>
      <c r="F33" s="1" t="s">
        <v>4</v>
      </c>
      <c r="G33" s="1" t="s">
        <v>19</v>
      </c>
    </row>
    <row r="34" spans="2:7">
      <c r="B34" s="2">
        <v>101</v>
      </c>
      <c r="C34" s="2" t="s">
        <v>5</v>
      </c>
      <c r="D34" s="2">
        <v>120</v>
      </c>
      <c r="E34" s="2">
        <v>150</v>
      </c>
      <c r="F34" s="2" t="s">
        <v>6</v>
      </c>
      <c r="G34" s="2" t="str">
        <f>IF(OR(D34&gt;200,D34=200),"10%",IF(AND(D34&lt;200,OR(D34=150,D34&gt;150)),"7%","5%"))</f>
        <v>5%</v>
      </c>
    </row>
    <row r="35" spans="2:7">
      <c r="B35" s="2">
        <v>102</v>
      </c>
      <c r="C35" s="2" t="s">
        <v>7</v>
      </c>
      <c r="D35" s="2">
        <v>150</v>
      </c>
      <c r="E35" s="2">
        <v>140</v>
      </c>
      <c r="F35" s="2" t="s">
        <v>8</v>
      </c>
      <c r="G35" s="2" t="str">
        <f t="shared" ref="G35:G39" si="2">IF(OR(D35&gt;200,D35=200),"10%",IF(AND(D35&lt;200,OR(D35=150,D35&gt;150)),"7%","5%"))</f>
        <v>7%</v>
      </c>
    </row>
    <row r="36" spans="2:7">
      <c r="B36" s="2">
        <v>103</v>
      </c>
      <c r="C36" s="2" t="s">
        <v>9</v>
      </c>
      <c r="D36" s="2">
        <v>200</v>
      </c>
      <c r="E36" s="2">
        <v>200</v>
      </c>
      <c r="F36" s="2" t="s">
        <v>10</v>
      </c>
      <c r="G36" s="2" t="str">
        <f t="shared" si="2"/>
        <v>10%</v>
      </c>
    </row>
    <row r="37" spans="2:7">
      <c r="B37" s="2">
        <v>104</v>
      </c>
      <c r="C37" s="2" t="s">
        <v>11</v>
      </c>
      <c r="D37" s="2">
        <v>90</v>
      </c>
      <c r="E37" s="2">
        <v>100</v>
      </c>
      <c r="F37" s="2" t="s">
        <v>12</v>
      </c>
      <c r="G37" s="2" t="str">
        <f t="shared" si="2"/>
        <v>5%</v>
      </c>
    </row>
    <row r="38" spans="2:7">
      <c r="B38" s="2">
        <v>105</v>
      </c>
      <c r="C38" s="2" t="s">
        <v>13</v>
      </c>
      <c r="D38" s="2">
        <v>220</v>
      </c>
      <c r="E38" s="2">
        <v>210</v>
      </c>
      <c r="F38" s="2" t="s">
        <v>6</v>
      </c>
      <c r="G38" s="2" t="str">
        <f t="shared" si="2"/>
        <v>10%</v>
      </c>
    </row>
    <row r="39" spans="2:7">
      <c r="B39" s="2">
        <v>106</v>
      </c>
      <c r="C39" s="2" t="s">
        <v>14</v>
      </c>
      <c r="D39" s="2">
        <v>130</v>
      </c>
      <c r="E39" s="2">
        <v>160</v>
      </c>
      <c r="F39" s="2" t="s">
        <v>8</v>
      </c>
      <c r="G39" s="2" t="str">
        <f t="shared" si="2"/>
        <v>5%</v>
      </c>
    </row>
    <row r="41" spans="2:14">
      <c r="B41" s="3" t="s">
        <v>20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3" spans="2:8">
      <c r="B43" s="1" t="s">
        <v>0</v>
      </c>
      <c r="C43" s="1" t="s">
        <v>1</v>
      </c>
      <c r="D43" s="1" t="s">
        <v>2</v>
      </c>
      <c r="E43" s="1" t="s">
        <v>3</v>
      </c>
      <c r="F43" s="1" t="s">
        <v>4</v>
      </c>
      <c r="G43" s="1" t="s">
        <v>21</v>
      </c>
      <c r="H43" s="1" t="s">
        <v>22</v>
      </c>
    </row>
    <row r="44" spans="2:8">
      <c r="B44" s="2">
        <v>101</v>
      </c>
      <c r="C44" s="2" t="s">
        <v>5</v>
      </c>
      <c r="D44" s="2">
        <v>120</v>
      </c>
      <c r="E44" s="2">
        <v>150</v>
      </c>
      <c r="F44" s="2" t="s">
        <v>6</v>
      </c>
      <c r="G44" s="2">
        <f>IF(E44&lt;=D44,10,5)</f>
        <v>5</v>
      </c>
      <c r="H44" s="2">
        <f>D44*G44%</f>
        <v>6</v>
      </c>
    </row>
    <row r="45" spans="2:8">
      <c r="B45" s="2">
        <v>102</v>
      </c>
      <c r="C45" s="2" t="s">
        <v>7</v>
      </c>
      <c r="D45" s="2">
        <v>150</v>
      </c>
      <c r="E45" s="2">
        <v>140</v>
      </c>
      <c r="F45" s="2" t="s">
        <v>8</v>
      </c>
      <c r="G45" s="2">
        <f t="shared" ref="G45:G49" si="3">IF(E45&lt;=D45,10,5)</f>
        <v>10</v>
      </c>
      <c r="H45" s="2">
        <f t="shared" ref="H45:H49" si="4">D45*G45%</f>
        <v>15</v>
      </c>
    </row>
    <row r="46" spans="2:8">
      <c r="B46" s="2">
        <v>103</v>
      </c>
      <c r="C46" s="2" t="s">
        <v>9</v>
      </c>
      <c r="D46" s="2">
        <v>200</v>
      </c>
      <c r="E46" s="2">
        <v>200</v>
      </c>
      <c r="F46" s="2" t="s">
        <v>10</v>
      </c>
      <c r="G46" s="2">
        <f t="shared" si="3"/>
        <v>10</v>
      </c>
      <c r="H46" s="2">
        <f t="shared" si="4"/>
        <v>20</v>
      </c>
    </row>
    <row r="47" spans="2:8">
      <c r="B47" s="2">
        <v>104</v>
      </c>
      <c r="C47" s="2" t="s">
        <v>11</v>
      </c>
      <c r="D47" s="2">
        <v>90</v>
      </c>
      <c r="E47" s="2">
        <v>100</v>
      </c>
      <c r="F47" s="2" t="s">
        <v>12</v>
      </c>
      <c r="G47" s="2">
        <f t="shared" si="3"/>
        <v>5</v>
      </c>
      <c r="H47" s="2">
        <f t="shared" si="4"/>
        <v>4.5</v>
      </c>
    </row>
    <row r="48" spans="2:8">
      <c r="B48" s="2">
        <v>105</v>
      </c>
      <c r="C48" s="2" t="s">
        <v>13</v>
      </c>
      <c r="D48" s="2">
        <v>220</v>
      </c>
      <c r="E48" s="2">
        <v>210</v>
      </c>
      <c r="F48" s="2" t="s">
        <v>6</v>
      </c>
      <c r="G48" s="2">
        <f t="shared" si="3"/>
        <v>10</v>
      </c>
      <c r="H48" s="2">
        <f t="shared" si="4"/>
        <v>22</v>
      </c>
    </row>
    <row r="49" spans="2:8">
      <c r="B49" s="2">
        <v>106</v>
      </c>
      <c r="C49" s="2" t="s">
        <v>14</v>
      </c>
      <c r="D49" s="2">
        <v>130</v>
      </c>
      <c r="E49" s="2">
        <v>160</v>
      </c>
      <c r="F49" s="2" t="s">
        <v>8</v>
      </c>
      <c r="G49" s="2">
        <f t="shared" si="3"/>
        <v>5</v>
      </c>
      <c r="H49" s="2">
        <f t="shared" si="4"/>
        <v>6.5</v>
      </c>
    </row>
    <row r="51" spans="2:12">
      <c r="B51" s="3" t="s">
        <v>23</v>
      </c>
      <c r="C51" s="3"/>
      <c r="D51" s="3"/>
      <c r="E51" s="3"/>
      <c r="F51" s="3"/>
      <c r="G51" s="3"/>
      <c r="H51" s="3"/>
      <c r="I51" s="3"/>
      <c r="J51" s="3"/>
      <c r="K51" s="3"/>
      <c r="L51" s="3"/>
    </row>
    <row r="53" spans="2:7">
      <c r="B53" s="1" t="s">
        <v>0</v>
      </c>
      <c r="C53" s="1" t="s">
        <v>1</v>
      </c>
      <c r="D53" s="1" t="s">
        <v>2</v>
      </c>
      <c r="E53" s="1" t="s">
        <v>3</v>
      </c>
      <c r="F53" s="1" t="s">
        <v>4</v>
      </c>
      <c r="G53" s="1" t="s">
        <v>24</v>
      </c>
    </row>
    <row r="54" spans="2:7">
      <c r="B54" s="2">
        <v>101</v>
      </c>
      <c r="C54" s="2" t="s">
        <v>5</v>
      </c>
      <c r="D54" s="2">
        <v>120</v>
      </c>
      <c r="E54" s="2">
        <v>150</v>
      </c>
      <c r="F54" s="2" t="s">
        <v>6</v>
      </c>
      <c r="G54" s="2" t="str">
        <f>IF(D54&gt;=200,"Excellent",IF(AND(D54&gt;=150,D54&lt;200),"Good","Needs Improvement"))</f>
        <v>Needs Improvement</v>
      </c>
    </row>
    <row r="55" spans="2:7">
      <c r="B55" s="2">
        <v>102</v>
      </c>
      <c r="C55" s="2" t="s">
        <v>7</v>
      </c>
      <c r="D55" s="2">
        <v>150</v>
      </c>
      <c r="E55" s="2">
        <v>140</v>
      </c>
      <c r="F55" s="2" t="s">
        <v>8</v>
      </c>
      <c r="G55" s="2" t="str">
        <f t="shared" ref="G55:G59" si="5">IF(D55&gt;=200,"Excellent",IF(AND(D55&gt;=150,D55&lt;200),"Good","Needs Improvement"))</f>
        <v>Good</v>
      </c>
    </row>
    <row r="56" spans="2:7">
      <c r="B56" s="2">
        <v>103</v>
      </c>
      <c r="C56" s="2" t="s">
        <v>9</v>
      </c>
      <c r="D56" s="2">
        <v>200</v>
      </c>
      <c r="E56" s="2">
        <v>200</v>
      </c>
      <c r="F56" s="2" t="s">
        <v>10</v>
      </c>
      <c r="G56" s="2" t="str">
        <f t="shared" si="5"/>
        <v>Excellent</v>
      </c>
    </row>
    <row r="57" spans="2:7">
      <c r="B57" s="2">
        <v>104</v>
      </c>
      <c r="C57" s="2" t="s">
        <v>11</v>
      </c>
      <c r="D57" s="2">
        <v>90</v>
      </c>
      <c r="E57" s="2">
        <v>100</v>
      </c>
      <c r="F57" s="2" t="s">
        <v>12</v>
      </c>
      <c r="G57" s="2" t="str">
        <f t="shared" si="5"/>
        <v>Needs Improvement</v>
      </c>
    </row>
    <row r="58" spans="2:7">
      <c r="B58" s="2">
        <v>105</v>
      </c>
      <c r="C58" s="2" t="s">
        <v>13</v>
      </c>
      <c r="D58" s="2">
        <v>220</v>
      </c>
      <c r="E58" s="2">
        <v>210</v>
      </c>
      <c r="F58" s="2" t="s">
        <v>6</v>
      </c>
      <c r="G58" s="2" t="str">
        <f t="shared" si="5"/>
        <v>Excellent</v>
      </c>
    </row>
    <row r="59" spans="2:7">
      <c r="B59" s="2">
        <v>106</v>
      </c>
      <c r="C59" s="2" t="s">
        <v>14</v>
      </c>
      <c r="D59" s="2">
        <v>130</v>
      </c>
      <c r="E59" s="2">
        <v>160</v>
      </c>
      <c r="F59" s="2" t="s">
        <v>8</v>
      </c>
      <c r="G59" s="2" t="str">
        <f t="shared" si="5"/>
        <v>Needs Improvement</v>
      </c>
    </row>
    <row r="61" spans="2:2">
      <c r="B61" s="3" t="s">
        <v>25</v>
      </c>
    </row>
    <row r="63" spans="2:7">
      <c r="B63" s="1" t="s">
        <v>0</v>
      </c>
      <c r="C63" s="1" t="s">
        <v>1</v>
      </c>
      <c r="D63" s="1" t="s">
        <v>2</v>
      </c>
      <c r="E63" s="1" t="s">
        <v>3</v>
      </c>
      <c r="F63" s="1" t="s">
        <v>4</v>
      </c>
      <c r="G63" s="1" t="s">
        <v>26</v>
      </c>
    </row>
    <row r="64" spans="2:7">
      <c r="B64" s="2">
        <v>101</v>
      </c>
      <c r="C64" s="2" t="s">
        <v>5</v>
      </c>
      <c r="D64" s="2">
        <v>120</v>
      </c>
      <c r="E64" s="2">
        <v>150</v>
      </c>
      <c r="F64" s="2" t="s">
        <v>6</v>
      </c>
      <c r="G64" s="2" t="str">
        <f>IF(D64&gt;200,"High",IF(AND(D64&gt;=100,D64&lt;=200),"Medium","Low"))</f>
        <v>Medium</v>
      </c>
    </row>
    <row r="65" spans="2:7">
      <c r="B65" s="2">
        <v>102</v>
      </c>
      <c r="C65" s="2" t="s">
        <v>7</v>
      </c>
      <c r="D65" s="2">
        <v>150</v>
      </c>
      <c r="E65" s="2">
        <v>140</v>
      </c>
      <c r="F65" s="2" t="s">
        <v>8</v>
      </c>
      <c r="G65" s="2" t="str">
        <f t="shared" ref="G65:G69" si="6">IF(D65&gt;200,"High",IF(AND(D65&gt;=100,D65&lt;=200),"Medium","Low"))</f>
        <v>Medium</v>
      </c>
    </row>
    <row r="66" spans="2:7">
      <c r="B66" s="2">
        <v>103</v>
      </c>
      <c r="C66" s="2" t="s">
        <v>9</v>
      </c>
      <c r="D66" s="2">
        <v>200</v>
      </c>
      <c r="E66" s="2">
        <v>200</v>
      </c>
      <c r="F66" s="2" t="s">
        <v>10</v>
      </c>
      <c r="G66" s="2" t="str">
        <f t="shared" si="6"/>
        <v>Medium</v>
      </c>
    </row>
    <row r="67" spans="2:7">
      <c r="B67" s="2">
        <v>104</v>
      </c>
      <c r="C67" s="2" t="s">
        <v>11</v>
      </c>
      <c r="D67" s="2">
        <v>90</v>
      </c>
      <c r="E67" s="2">
        <v>100</v>
      </c>
      <c r="F67" s="2" t="s">
        <v>12</v>
      </c>
      <c r="G67" s="2" t="str">
        <f t="shared" si="6"/>
        <v>Low</v>
      </c>
    </row>
    <row r="68" spans="2:7">
      <c r="B68" s="2">
        <v>105</v>
      </c>
      <c r="C68" s="2" t="s">
        <v>13</v>
      </c>
      <c r="D68" s="2">
        <v>220</v>
      </c>
      <c r="E68" s="2">
        <v>210</v>
      </c>
      <c r="F68" s="2" t="s">
        <v>6</v>
      </c>
      <c r="G68" s="2" t="str">
        <f t="shared" si="6"/>
        <v>High</v>
      </c>
    </row>
    <row r="69" spans="2:7">
      <c r="B69" s="2">
        <v>106</v>
      </c>
      <c r="C69" s="2" t="s">
        <v>14</v>
      </c>
      <c r="D69" s="2">
        <v>130</v>
      </c>
      <c r="E69" s="2">
        <v>160</v>
      </c>
      <c r="F69" s="2" t="s">
        <v>8</v>
      </c>
      <c r="G69" s="2" t="str">
        <f t="shared" si="6"/>
        <v>Medium</v>
      </c>
    </row>
    <row r="71" spans="2:12">
      <c r="B71" s="3" t="s">
        <v>27</v>
      </c>
      <c r="C71" s="3"/>
      <c r="D71" s="3"/>
      <c r="E71" s="3"/>
      <c r="F71" s="3"/>
      <c r="G71" s="3"/>
      <c r="H71" s="3"/>
      <c r="I71" s="3"/>
      <c r="J71" s="3"/>
      <c r="K71" s="3"/>
      <c r="L71" s="3"/>
    </row>
    <row r="73" spans="2:7">
      <c r="B73" s="1" t="s">
        <v>0</v>
      </c>
      <c r="C73" s="1" t="s">
        <v>1</v>
      </c>
      <c r="D73" s="1" t="s">
        <v>2</v>
      </c>
      <c r="E73" s="1" t="s">
        <v>3</v>
      </c>
      <c r="F73" s="1" t="s">
        <v>4</v>
      </c>
      <c r="G73" s="1" t="s">
        <v>28</v>
      </c>
    </row>
    <row r="74" spans="2:7">
      <c r="B74" s="2">
        <v>101</v>
      </c>
      <c r="C74" s="2" t="s">
        <v>5</v>
      </c>
      <c r="D74" s="2">
        <v>120</v>
      </c>
      <c r="E74" s="2">
        <v>150</v>
      </c>
      <c r="F74" s="2" t="s">
        <v>6</v>
      </c>
      <c r="G74" s="2" t="str">
        <f>IF(AND(D74&gt;=150,F74="North"),"$500","$300")</f>
        <v>$300</v>
      </c>
    </row>
    <row r="75" spans="2:7">
      <c r="B75" s="2">
        <v>102</v>
      </c>
      <c r="C75" s="2" t="s">
        <v>7</v>
      </c>
      <c r="D75" s="2">
        <v>150</v>
      </c>
      <c r="E75" s="2">
        <v>140</v>
      </c>
      <c r="F75" s="2" t="s">
        <v>8</v>
      </c>
      <c r="G75" s="2" t="str">
        <f t="shared" ref="G75:G79" si="7">IF(AND(D75&gt;=150,F75="North"),"$500","$300")</f>
        <v>$300</v>
      </c>
    </row>
    <row r="76" spans="2:7">
      <c r="B76" s="2">
        <v>103</v>
      </c>
      <c r="C76" s="2" t="s">
        <v>9</v>
      </c>
      <c r="D76" s="2">
        <v>200</v>
      </c>
      <c r="E76" s="2">
        <v>200</v>
      </c>
      <c r="F76" s="2" t="s">
        <v>10</v>
      </c>
      <c r="G76" s="2" t="str">
        <f t="shared" si="7"/>
        <v>$300</v>
      </c>
    </row>
    <row r="77" spans="2:7">
      <c r="B77" s="2">
        <v>104</v>
      </c>
      <c r="C77" s="2" t="s">
        <v>11</v>
      </c>
      <c r="D77" s="2">
        <v>90</v>
      </c>
      <c r="E77" s="2">
        <v>100</v>
      </c>
      <c r="F77" s="2" t="s">
        <v>12</v>
      </c>
      <c r="G77" s="2" t="str">
        <f t="shared" si="7"/>
        <v>$300</v>
      </c>
    </row>
    <row r="78" spans="2:7">
      <c r="B78" s="2">
        <v>105</v>
      </c>
      <c r="C78" s="2" t="s">
        <v>13</v>
      </c>
      <c r="D78" s="2">
        <v>220</v>
      </c>
      <c r="E78" s="2">
        <v>210</v>
      </c>
      <c r="F78" s="2" t="s">
        <v>6</v>
      </c>
      <c r="G78" s="2" t="str">
        <f t="shared" si="7"/>
        <v>$500</v>
      </c>
    </row>
    <row r="79" spans="2:7">
      <c r="B79" s="2">
        <v>106</v>
      </c>
      <c r="C79" s="2" t="s">
        <v>14</v>
      </c>
      <c r="D79" s="2">
        <v>130</v>
      </c>
      <c r="E79" s="2">
        <v>160</v>
      </c>
      <c r="F79" s="2" t="s">
        <v>8</v>
      </c>
      <c r="G79" s="2" t="str">
        <f t="shared" si="7"/>
        <v>$300</v>
      </c>
    </row>
    <row r="81" spans="2:11">
      <c r="B81" s="3" t="s">
        <v>29</v>
      </c>
      <c r="C81" s="3"/>
      <c r="D81" s="3"/>
      <c r="E81" s="3"/>
      <c r="F81" s="3"/>
      <c r="G81" s="3"/>
      <c r="H81" s="3"/>
      <c r="I81" s="3"/>
      <c r="J81" s="3"/>
      <c r="K81" s="3"/>
    </row>
    <row r="83" spans="2:7">
      <c r="B83" s="1" t="s">
        <v>0</v>
      </c>
      <c r="C83" s="1" t="s">
        <v>1</v>
      </c>
      <c r="D83" s="1" t="s">
        <v>2</v>
      </c>
      <c r="E83" s="1" t="s">
        <v>3</v>
      </c>
      <c r="F83" s="1" t="s">
        <v>4</v>
      </c>
      <c r="G83" s="1" t="s">
        <v>30</v>
      </c>
    </row>
    <row r="84" spans="2:7">
      <c r="B84" s="2">
        <v>101</v>
      </c>
      <c r="C84" s="2" t="s">
        <v>5</v>
      </c>
      <c r="D84" s="2">
        <v>120</v>
      </c>
      <c r="E84" s="2">
        <v>150</v>
      </c>
      <c r="F84" s="2" t="s">
        <v>6</v>
      </c>
      <c r="G84" s="2" t="str">
        <f>IF(D84&gt;=PERCENTILE($D$84:$D$89,0.75),"High","Low")</f>
        <v>Low</v>
      </c>
    </row>
    <row r="85" spans="2:7">
      <c r="B85" s="2">
        <v>102</v>
      </c>
      <c r="C85" s="2" t="s">
        <v>7</v>
      </c>
      <c r="D85" s="2">
        <v>150</v>
      </c>
      <c r="E85" s="2">
        <v>140</v>
      </c>
      <c r="F85" s="2" t="s">
        <v>8</v>
      </c>
      <c r="G85" s="2" t="str">
        <f>IF(D85&gt;=PERCENTILE($D$84:$D$89,0.75),"High","Low")</f>
        <v>Low</v>
      </c>
    </row>
    <row r="86" spans="2:7">
      <c r="B86" s="2">
        <v>103</v>
      </c>
      <c r="C86" s="2" t="s">
        <v>9</v>
      </c>
      <c r="D86" s="2">
        <v>200</v>
      </c>
      <c r="E86" s="2">
        <v>200</v>
      </c>
      <c r="F86" s="2" t="s">
        <v>10</v>
      </c>
      <c r="G86" s="2" t="str">
        <f>IF(D86&gt;=PERCENTILE($D$84:$D$89,0.75),"High","Low")</f>
        <v>High</v>
      </c>
    </row>
    <row r="87" spans="2:7">
      <c r="B87" s="2">
        <v>104</v>
      </c>
      <c r="C87" s="2" t="s">
        <v>11</v>
      </c>
      <c r="D87" s="2">
        <v>90</v>
      </c>
      <c r="E87" s="2">
        <v>100</v>
      </c>
      <c r="F87" s="2" t="s">
        <v>12</v>
      </c>
      <c r="G87" s="2" t="str">
        <f>IF(D87&gt;=PERCENTILE($D$84:$D$89,0.75),"High","Low")</f>
        <v>Low</v>
      </c>
    </row>
    <row r="88" spans="2:7">
      <c r="B88" s="2">
        <v>105</v>
      </c>
      <c r="C88" s="2" t="s">
        <v>13</v>
      </c>
      <c r="D88" s="2">
        <v>220</v>
      </c>
      <c r="E88" s="2">
        <v>210</v>
      </c>
      <c r="F88" s="2" t="s">
        <v>6</v>
      </c>
      <c r="G88" s="2" t="str">
        <f>IF(D88&gt;=PERCENTILE($D$84:$D$89,0.75),"High","Low")</f>
        <v>High</v>
      </c>
    </row>
    <row r="89" spans="2:7">
      <c r="B89" s="2">
        <v>106</v>
      </c>
      <c r="C89" s="2" t="s">
        <v>14</v>
      </c>
      <c r="D89" s="2">
        <v>130</v>
      </c>
      <c r="E89" s="2">
        <v>160</v>
      </c>
      <c r="F89" s="2" t="s">
        <v>8</v>
      </c>
      <c r="G89" s="2" t="str">
        <f>IF(D89&gt;=PERCENTILE($D$84:$D$89,0.75),"High","Low")</f>
        <v>Low</v>
      </c>
    </row>
  </sheetData>
  <mergeCells count="7">
    <mergeCell ref="B11:I11"/>
    <mergeCell ref="B21:O21"/>
    <mergeCell ref="B31:R31"/>
    <mergeCell ref="B41:N41"/>
    <mergeCell ref="B51:L51"/>
    <mergeCell ref="B71:L71"/>
    <mergeCell ref="B81:K8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ipsita dey</dc:creator>
  <cp:lastModifiedBy>Anudip</cp:lastModifiedBy>
  <dcterms:created xsi:type="dcterms:W3CDTF">2026-01-30T09:49:00Z</dcterms:created>
  <dcterms:modified xsi:type="dcterms:W3CDTF">2026-01-30T11:04:26Z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C2965D501D2047D6A6FFFA505E63047E_12</vt:lpwstr>
  </property>
  <property fmtid="{D5CDD505-2E9C-101B-9397-08002B2CF9AE}" pid="3" name="KSOProductBuildVer">
    <vt:lpwstr>1033-12.2.0.23196</vt:lpwstr>
  </property>
</Properties>
</file>