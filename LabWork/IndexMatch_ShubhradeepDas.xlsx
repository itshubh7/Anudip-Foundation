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69F6812B-30BC-439E-8751-260F8CAA9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47" i="1" l="1"/>
  <c r="E42" i="1"/>
  <c r="E32" i="1"/>
  <c r="E27" i="1"/>
  <c r="E22" i="1"/>
  <c r="E17" i="1"/>
  <c r="E37" i="1"/>
  <c r="F52" i="1" a="1"/>
  <c r="F5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<sst xmlns="http://schemas.openxmlformats.org/spreadsheetml/2006/main" count="55" uniqueCount="33">
  <si>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</si>
  <si>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</si>
  <si>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</si>
  <si>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</si>
  <si>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</si>
  <si>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</si>
  <si>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</si>
  <si>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</si>
  <si>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</si>
  <si>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</si>
  <si>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</si>
  <si>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</si>
  <si>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</si>
  <si>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</si>
  <si>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</si>
  <si>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</si>
  <si>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</si>
  <si>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Month</t>
  </si>
  <si>
    <t>Sales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</si>
  <si>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</si>
  <si>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</si>
  <si>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</si>
  <si>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Maximum Sale</t>
  </si>
  <si>
    <t>Maximum Sale(Month)</t>
  </si>
  <si>
    <t>4. Use INDEX and MATCH to find the month with the maximum sales for Product A</t>
  </si>
  <si>
    <t>5. Use INDEX, MATCH, and SUMIF to sum the sales for all products in the "Electronics" category for April.</t>
  </si>
  <si>
    <t>Sum</t>
  </si>
  <si>
    <t>6. Use INDEX and MATCH to calculate the average sales for Product D across all months.</t>
  </si>
  <si>
    <t>Average</t>
  </si>
  <si>
    <t>7. Use INDEX and MATCH to find the sales for Product ID 105 in May.</t>
  </si>
  <si>
    <t>Product ID</t>
  </si>
  <si>
    <t>Sale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</si>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</sst>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1" fillId="0" borderId="0" xfId="0" applyFont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5" borderId="2" xfId="0" applyFill="1" applyBorder="1" applyAlignment="1">
      <alignment horizontal="right" vertical="center"/>
    </xf>
    <xf numFmtId="0" fontId="0" fillId="5" borderId="3" xfId="0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N52"/>
  <sheetViews>
    <sheetView tabSelected="1" zoomScale="85" zoomScaleNormal="85" workbookViewId="0">
      <selection activeCell="I47" sqref="I46:I47"/>
    </sheetView>
  </sheetViews>
  <sheetFormatPr defaultColWidth="9.109375" defaultRowHeight="14.4"/>
  <cols>
    <col min="3" max="3" width="10.33203125" customWidth="1"/>
    <col min="4" max="4" width="9.6640625" customWidth="1"/>
    <col min="5" max="5" width="13.109375" bestFit="1" customWidth="1"/>
    <col min="6" max="6" width="9.44140625" customWidth="1"/>
    <col min="7" max="7" width="9.88671875" customWidth="1"/>
    <col min="8" max="8" width="10" customWidth="1"/>
    <col min="9" max="9" width="9.6640625" customWidth="1"/>
    <col min="10" max="10" width="10.33203125" customWidth="1"/>
  </cols>
  <sheetData>
    <row r="6" spans="3:11"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1"/>
    </row>
    <row r="7" spans="3:11">
      <c r="C7" s="3">
        <v>101</v>
      </c>
      <c r="D7" s="3" t="s">
        <v>8</v>
      </c>
      <c r="E7" s="3" t="s">
        <v>9</v>
      </c>
      <c r="F7" s="3">
        <v>120</v>
      </c>
      <c r="G7" s="3">
        <v>130</v>
      </c>
      <c r="H7" s="3">
        <v>140</v>
      </c>
      <c r="I7" s="3">
        <v>150</v>
      </c>
      <c r="J7" s="3">
        <v>160</v>
      </c>
      <c r="K7" s="1"/>
    </row>
    <row r="8" spans="3:11">
      <c r="C8" s="3">
        <v>102</v>
      </c>
      <c r="D8" s="3" t="s">
        <v>10</v>
      </c>
      <c r="E8" s="3" t="s">
        <v>11</v>
      </c>
      <c r="F8" s="3">
        <v>150</v>
      </c>
      <c r="G8" s="3">
        <v>160</v>
      </c>
      <c r="H8" s="3">
        <v>170</v>
      </c>
      <c r="I8" s="3">
        <v>180</v>
      </c>
      <c r="J8" s="3">
        <v>190</v>
      </c>
      <c r="K8" s="1"/>
    </row>
    <row r="9" spans="3:11">
      <c r="C9" s="3">
        <v>103</v>
      </c>
      <c r="D9" s="3" t="s">
        <v>12</v>
      </c>
      <c r="E9" s="3" t="s">
        <v>9</v>
      </c>
      <c r="F9" s="3">
        <v>200</v>
      </c>
      <c r="G9" s="3">
        <v>210</v>
      </c>
      <c r="H9" s="3">
        <v>220</v>
      </c>
      <c r="I9" s="3">
        <v>230</v>
      </c>
      <c r="J9" s="3">
        <v>240</v>
      </c>
      <c r="K9" s="1"/>
    </row>
    <row r="10" spans="3:11">
      <c r="C10" s="3">
        <v>104</v>
      </c>
      <c r="D10" s="3" t="s">
        <v>13</v>
      </c>
      <c r="E10" s="3" t="s">
        <v>14</v>
      </c>
      <c r="F10" s="3">
        <v>90</v>
      </c>
      <c r="G10" s="3">
        <v>100</v>
      </c>
      <c r="H10" s="3">
        <v>110</v>
      </c>
      <c r="I10" s="3">
        <v>120</v>
      </c>
      <c r="J10" s="3">
        <v>130</v>
      </c>
      <c r="K10" s="1"/>
    </row>
    <row r="11" spans="3:11">
      <c r="C11" s="3">
        <v>105</v>
      </c>
      <c r="D11" s="3" t="s">
        <v>15</v>
      </c>
      <c r="E11" s="3" t="s">
        <v>11</v>
      </c>
      <c r="F11" s="3">
        <v>220</v>
      </c>
      <c r="G11" s="3">
        <v>230</v>
      </c>
      <c r="H11" s="3">
        <v>240</v>
      </c>
      <c r="I11" s="3">
        <v>250</v>
      </c>
      <c r="J11" s="3">
        <v>260</v>
      </c>
      <c r="K11" s="1"/>
    </row>
    <row r="12" spans="3:11">
      <c r="C12" s="3">
        <v>106</v>
      </c>
      <c r="D12" s="3" t="s">
        <v>16</v>
      </c>
      <c r="E12" s="3" t="s">
        <v>9</v>
      </c>
      <c r="F12" s="3">
        <v>130</v>
      </c>
      <c r="G12" s="3">
        <v>140</v>
      </c>
      <c r="H12" s="3">
        <v>150</v>
      </c>
      <c r="I12" s="3">
        <v>160</v>
      </c>
      <c r="J12" s="3">
        <v>170</v>
      </c>
      <c r="K12" s="1"/>
    </row>
    <row r="13" spans="3:11">
      <c r="C13" s="1"/>
      <c r="D13" s="1"/>
      <c r="E13" s="1"/>
      <c r="F13" s="1"/>
      <c r="G13" s="1"/>
      <c r="H13" s="1"/>
      <c r="I13" s="1"/>
      <c r="J13" s="1"/>
      <c r="K13" s="1"/>
    </row>
    <row r="14" spans="3:11">
      <c r="C14" t="s">
        <v>19</v>
      </c>
      <c r="D14" s="1"/>
      <c r="E14" s="1"/>
      <c r="F14" s="1"/>
      <c r="G14" s="1"/>
      <c r="H14" s="1"/>
      <c r="I14" s="1"/>
      <c r="J14" s="1"/>
      <c r="K14" s="1"/>
    </row>
    <row r="15" spans="3:11">
      <c r="C15" s="1"/>
      <c r="D15" s="1"/>
      <c r="E15" s="1"/>
      <c r="F15" s="1"/>
      <c r="G15" s="1"/>
      <c r="H15" s="1"/>
      <c r="I15" s="1"/>
      <c r="J15" s="1"/>
      <c r="K15" s="1"/>
    </row>
    <row r="16" spans="3:11">
      <c r="D16" s="5" t="s">
        <v>1</v>
      </c>
      <c r="E16" s="5" t="s">
        <v>5</v>
      </c>
      <c r="F16" s="1"/>
      <c r="G16" s="1"/>
      <c r="H16" s="1"/>
      <c r="I16" s="1"/>
      <c r="J16" s="1"/>
      <c r="K16" s="1"/>
    </row>
    <row r="17" spans="3:14">
      <c r="D17" s="8" t="s">
        <v>12</v>
      </c>
      <c r="E17" s="8">
        <f>INDEX(C6:J12,MATCH(D17,D6:D12,0),MATCH(E16,C6:J6,0))</f>
        <v>220</v>
      </c>
      <c r="F17" s="1"/>
      <c r="G17" s="1"/>
      <c r="H17" s="1"/>
      <c r="I17" s="1"/>
      <c r="J17" s="1"/>
      <c r="K17" s="1"/>
    </row>
    <row r="18" spans="3:14">
      <c r="D18" s="1"/>
      <c r="E18" s="1"/>
      <c r="F18" s="1"/>
      <c r="K18" s="1"/>
    </row>
    <row r="19" spans="3:14">
      <c r="C19" t="s">
        <v>20</v>
      </c>
      <c r="D19" s="1"/>
      <c r="E19" s="1"/>
      <c r="F19" s="1"/>
      <c r="K19" s="1"/>
    </row>
    <row r="20" spans="3:14">
      <c r="D20" s="1"/>
      <c r="E20" s="1"/>
      <c r="F20" s="1"/>
      <c r="G20" s="1"/>
      <c r="H20" s="1"/>
      <c r="I20" s="1"/>
      <c r="J20" s="1"/>
      <c r="K20" s="1"/>
    </row>
    <row r="21" spans="3:14">
      <c r="D21" s="5" t="s">
        <v>1</v>
      </c>
      <c r="E21" s="5" t="s">
        <v>2</v>
      </c>
      <c r="F21" s="1"/>
      <c r="G21" s="1"/>
      <c r="H21" s="1"/>
      <c r="I21" s="1"/>
      <c r="J21" s="1"/>
      <c r="K21" s="1"/>
    </row>
    <row r="22" spans="3:14">
      <c r="D22" s="8" t="s">
        <v>15</v>
      </c>
      <c r="E22" s="8" t="str">
        <f>INDEX(C6:J12,MATCH(D22,D6:D12,0),MATCH(E6,C6:J6,0))</f>
        <v>Furniture</v>
      </c>
      <c r="F22" s="1"/>
      <c r="G22" s="1"/>
      <c r="H22" s="1"/>
      <c r="I22" s="1"/>
      <c r="J22" s="1"/>
      <c r="K22" s="1"/>
    </row>
    <row r="24" spans="3:14">
      <c r="C24" t="s">
        <v>21</v>
      </c>
    </row>
    <row r="26" spans="3:14">
      <c r="D26" s="5" t="s">
        <v>1</v>
      </c>
      <c r="E26" s="5" t="s">
        <v>22</v>
      </c>
      <c r="N26" s="1"/>
    </row>
    <row r="27" spans="3:14">
      <c r="D27" s="8" t="s">
        <v>10</v>
      </c>
      <c r="E27" s="8">
        <f>MAX(INDEX(F6:J12,MATCH(D27,D6:D12,0),))</f>
        <v>190</v>
      </c>
      <c r="N27" s="1"/>
    </row>
    <row r="29" spans="3:14">
      <c r="C29" t="s">
        <v>24</v>
      </c>
    </row>
    <row r="31" spans="3:14">
      <c r="D31" s="5" t="s">
        <v>1</v>
      </c>
      <c r="E31" s="6" t="s">
        <v>23</v>
      </c>
      <c r="F31" s="6"/>
    </row>
    <row r="32" spans="3:14">
      <c r="D32" s="8" t="s">
        <v>8</v>
      </c>
      <c r="E32" s="9" t="str">
        <f>INDEX(F6:J12,MATCH(C6,C6:J6,0),MATCH(MAX(INDEX(F6:J12,MATCH(D7,D6:D12,0),)),F7:J7,0))</f>
        <v>May Sales</v>
      </c>
      <c r="F32" s="10"/>
    </row>
    <row r="34" spans="3:6">
      <c r="C34" t="s">
        <v>25</v>
      </c>
    </row>
    <row r="36" spans="3:6">
      <c r="D36" s="5" t="s">
        <v>2</v>
      </c>
      <c r="E36" s="5" t="s">
        <v>26</v>
      </c>
    </row>
    <row r="37" spans="3:6">
      <c r="D37" s="8" t="s">
        <v>9</v>
      </c>
      <c r="E37" s="8">
        <f>SUMIF(E6:E12,"=Electronics",I6:I12)</f>
        <v>540</v>
      </c>
    </row>
    <row r="39" spans="3:6">
      <c r="C39" t="s">
        <v>27</v>
      </c>
    </row>
    <row r="41" spans="3:6">
      <c r="D41" s="5" t="s">
        <v>1</v>
      </c>
      <c r="E41" s="5" t="s">
        <v>28</v>
      </c>
    </row>
    <row r="42" spans="3:6">
      <c r="D42" s="8" t="s">
        <v>13</v>
      </c>
      <c r="E42" s="8">
        <f>AVERAGE(INDEX(D6:J12,MATCH(D42,D6:D12,0),))</f>
        <v>110</v>
      </c>
    </row>
    <row r="44" spans="3:6">
      <c r="C44" t="s">
        <v>29</v>
      </c>
    </row>
    <row r="46" spans="3:6">
      <c r="D46" s="5" t="s">
        <v>30</v>
      </c>
      <c r="E46" s="7" t="s">
        <v>17</v>
      </c>
      <c r="F46" s="7" t="s">
        <v>31</v>
      </c>
    </row>
    <row r="47" spans="3:6">
      <c r="D47" s="8">
        <v>105</v>
      </c>
      <c r="E47" s="8" t="s">
        <v>7</v>
      </c>
      <c r="F47" s="11">
        <f>INDEX(C6:J12,MATCH(D47,C6:C12,0),MATCH(E47,C6:J6,0))</f>
        <v>260</v>
      </c>
    </row>
    <row r="49" spans="3:6">
      <c r="C49" s="4" t="s">
        <v>32</v>
      </c>
    </row>
    <row r="51" spans="3:6">
      <c r="D51" s="5" t="s">
        <v>1</v>
      </c>
      <c r="E51" s="5" t="s">
        <v>17</v>
      </c>
      <c r="F51" s="5" t="s">
        <v>18</v>
      </c>
    </row>
    <row r="52" spans="3:6">
      <c r="D52" s="8" t="s">
        <v>16</v>
      </c>
      <c r="E52" s="8" t="s">
        <v>7</v>
      </c>
      <c r="F52" s="8" cm="1">
        <f t="array" ref="F52">INDEX(C6:J12,MATCH(D52,D6:D12,0),MATCH(E52,C6:J6,0))</f>
        <v>170</v>
      </c>
    </row>
  </sheetData>
  <mergeCells count="2">
    <mergeCell ref="E31:F31"/>
    <mergeCell ref="E32:F32"/>
  </mergeCells>
  <dataValidations count="3">
    <dataValidation type="list" allowBlank="1" showInputMessage="1" showErrorMessage="1" sqref="D52 D17 D22 D27 D42" xr:uid="{00000000-0002-0000-0000-000000000000}">
      <formula1>$D$7:$D$12</formula1>
    </dataValidation>
    <dataValidation type="list" allowBlank="1" showInputMessage="1" showErrorMessage="1" sqref="E52 E16 E47" xr:uid="{00000000-0002-0000-0000-000001000000}">
      <formula1>$F$6:$J$6</formula1>
    </dataValidation>
    <dataValidation type="list" allowBlank="1" showInputMessage="1" showErrorMessage="1" sqref="D47" xr:uid="{CD50DB2E-85E5-4FD4-B01F-0379CBEB8172}">
      <formula1>$C$7:$C$12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2026-01-19T09:16:00Z</dcterms:created>
  <dcterms:modified xsi:type="dcterms:W3CDTF">2026-01-19T14:37:57Z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0E399282A50D4FE5A66B6A6A98956784_13</vt:lpwstr>
  </property>
  <property fmtid="{D5CDD505-2E9C-101B-9397-08002B2CF9AE}" pid="3" name="KSOProductBuildVer">
    <vt:lpwstr>1033-12.2.0.23196</vt:lpwstr>
  </property>
</Properties>
</file>