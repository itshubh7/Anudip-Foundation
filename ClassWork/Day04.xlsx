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13_ncr:1_{FB046DCC-50E6-4D3A-9218-036BDA3BA3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" sheetId="2" r:id="rId1"/>
    <sheet name="Order" sheetId="3" r:id="rId2"/>
  </sheets>
  <definedNames>
    <definedName name="Orders">Order!$A$1:$C$7</definedName>
    <definedName name="Product">Product!$A$1:$C$7</definedName>
    <definedName name="Products">Product!$A$1:$C$7</definedName>
    <definedName name="tABLE">#REF!</definedName>
  </definedNames>
  <calcPr calcId="191029"/>
</workbook>
</file>

<file path=xl/calcChain.xml><?xml version="1.0" encoding="utf-8"?>
<calcChain xmlns="http://schemas.openxmlformats.org/spreadsheetml/2006/main">
  <c r="G7" i="3" l="1"/>
  <c r="G8" i="3"/>
  <c r="G2" i="3"/>
  <c r="H2" i="3"/>
  <c r="H3" i="3"/>
  <c r="H4" i="3"/>
  <c r="H5" i="3"/>
  <c r="H6" i="3"/>
  <c r="H7" i="3"/>
  <c r="D6" i="3"/>
  <c r="G6" i="3" s="1"/>
  <c r="D2" i="3"/>
  <c r="D3" i="3"/>
  <c r="G3" i="3" s="1"/>
  <c r="D4" i="3"/>
  <c r="G4" i="3" s="1"/>
  <c r="D5" i="3"/>
  <c r="G5" i="3" s="1"/>
  <c r="D7" i="3"/>
  <c r="D8" i="3"/>
  <c r="H8" i="3"/>
  <c r="F8" i="3"/>
  <c r="F7" i="3"/>
  <c r="E7" i="3"/>
  <c r="F6" i="3"/>
  <c r="E6" i="3"/>
  <c r="F5" i="3"/>
  <c r="E5" i="3"/>
  <c r="F4" i="3"/>
  <c r="E4" i="3"/>
  <c r="F3" i="3"/>
  <c r="E3" i="3"/>
  <c r="F2" i="3"/>
  <c r="E2" i="3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E12" i="3" l="1"/>
</calcChain>
</file>

<file path=xl/sharedStrings.xml><?xml version="1.0" encoding="utf-8"?>
<sst xmlns="http://schemas.openxmlformats.org/spreadsheetml/2006/main" count="23" uniqueCount="21">
  <si>
    <t>ProductID</t>
  </si>
  <si>
    <t>Product</t>
  </si>
  <si>
    <t>Price</t>
  </si>
  <si>
    <t>Quantity</t>
  </si>
  <si>
    <t>Ordered/Not ordered</t>
  </si>
  <si>
    <t>Product A</t>
  </si>
  <si>
    <t>Product B</t>
  </si>
  <si>
    <t>Product C</t>
  </si>
  <si>
    <t>Product D</t>
  </si>
  <si>
    <t>Product E</t>
  </si>
  <si>
    <t>Product F</t>
  </si>
  <si>
    <t>Product H</t>
  </si>
  <si>
    <t>Product I</t>
  </si>
  <si>
    <t>OrderID</t>
  </si>
  <si>
    <t>ProductId</t>
  </si>
  <si>
    <t>Total Price</t>
  </si>
  <si>
    <t>Product Name</t>
  </si>
  <si>
    <t>Availability</t>
  </si>
  <si>
    <t>Discounted Price</t>
  </si>
  <si>
    <t>Product G</t>
  </si>
  <si>
    <t>Max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</si>
</sst>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H6" sqref="H6"/>
    </sheetView>
  </sheetViews>
  <sheetFormatPr defaultColWidth="9.109375" defaultRowHeight="14.4"/>
  <cols>
    <col min="2" max="2" width="10.109375" customWidth="1"/>
    <col min="5" max="5" width="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101</v>
      </c>
      <c r="B2" s="2" t="s">
        <v>5</v>
      </c>
      <c r="C2" s="2">
        <v>120</v>
      </c>
      <c r="D2" s="2">
        <f>IFERROR(VLOOKUP(A2,Order!$B$1:$G$7,2,0),0)</f>
        <v>2</v>
      </c>
      <c r="E2" s="2" t="str">
        <f>IF(ISNA(VLOOKUP(A2,Order!$B$2:$C$8,1,0)),"Not Ordered","Ordered")</f>
        <v>Ordered</v>
      </c>
    </row>
    <row r="3" spans="1:5">
      <c r="A3" s="2">
        <v>102</v>
      </c>
      <c r="B3" s="2" t="s">
        <v>6</v>
      </c>
      <c r="C3" s="2">
        <v>150</v>
      </c>
      <c r="D3" s="2">
        <f>IFERROR(VLOOKUP(A3,Order!$B$1:$G$7,2,0),0)</f>
        <v>5</v>
      </c>
      <c r="E3" s="2" t="str">
        <f>IF(ISNA(VLOOKUP(A3,Order!$B$2:$C$8,1,0)),"Not Ordered","Ordered")</f>
        <v>Ordered</v>
      </c>
    </row>
    <row r="4" spans="1:5">
      <c r="A4" s="2">
        <v>103</v>
      </c>
      <c r="B4" s="2" t="s">
        <v>7</v>
      </c>
      <c r="C4" s="2">
        <v>200</v>
      </c>
      <c r="D4" s="2">
        <f>IFERROR(VLOOKUP(A4,Order!$B$1:$G$7,2,0),0)</f>
        <v>1</v>
      </c>
      <c r="E4" s="2" t="str">
        <f>IF(ISNA(VLOOKUP(A4,Order!$B$2:$C$8,1,0)),"Not Ordered","Ordered")</f>
        <v>Ordered</v>
      </c>
    </row>
    <row r="5" spans="1:5">
      <c r="A5" s="2">
        <v>104</v>
      </c>
      <c r="B5" s="2" t="s">
        <v>8</v>
      </c>
      <c r="C5" s="2">
        <v>90</v>
      </c>
      <c r="D5" s="2">
        <f>IFERROR(VLOOKUP(A5,Order!$B$1:$G$7,2,0),0)</f>
        <v>6</v>
      </c>
      <c r="E5" s="2" t="str">
        <f>IF(ISNA(VLOOKUP(A5,Order!$B$2:$C$8,1,0)),"Not Ordered","Ordered")</f>
        <v>Ordered</v>
      </c>
    </row>
    <row r="6" spans="1:5">
      <c r="A6" s="2">
        <v>105</v>
      </c>
      <c r="B6" s="2" t="s">
        <v>9</v>
      </c>
      <c r="C6" s="2">
        <v>220</v>
      </c>
      <c r="D6" s="2">
        <f>IFERROR(VLOOKUP(A6,Order!$B$1:$G$7,2,0),0)</f>
        <v>4</v>
      </c>
      <c r="E6" s="2" t="str">
        <f>IF(ISNA(VLOOKUP(A6,Order!$B$2:$C$8,1,0)),"Not Ordered","Ordered")</f>
        <v>Ordered</v>
      </c>
    </row>
    <row r="7" spans="1:5">
      <c r="A7" s="2">
        <v>106</v>
      </c>
      <c r="B7" s="2" t="s">
        <v>10</v>
      </c>
      <c r="C7" s="2">
        <v>130</v>
      </c>
      <c r="D7" s="2">
        <f>IFERROR(VLOOKUP(A7,Order!$B$1:$G$7,2,0),0)</f>
        <v>3</v>
      </c>
      <c r="E7" s="2" t="str">
        <f>IF(ISNA(VLOOKUP(A7,Order!$B$2:$C$8,1,0)),"Not Ordered","Ordered")</f>
        <v>Ordered</v>
      </c>
    </row>
    <row r="8" spans="1:5">
      <c r="A8" s="2">
        <v>108</v>
      </c>
      <c r="B8" s="2" t="s">
        <v>11</v>
      </c>
      <c r="C8" s="2">
        <v>180</v>
      </c>
      <c r="D8" s="2">
        <f>IFERROR(VLOOKUP(A8,Order!$B$1:$G$7,2,0),0)</f>
        <v>0</v>
      </c>
      <c r="E8" s="2" t="str">
        <f>IF(ISNA(VLOOKUP(A8,Order!$B$2:$C$8,1,0)),"Not Ordered","Ordered")</f>
        <v>Not Ordered</v>
      </c>
    </row>
    <row r="9" spans="1:5">
      <c r="A9" s="2">
        <v>109</v>
      </c>
      <c r="B9" s="2" t="s">
        <v>12</v>
      </c>
      <c r="C9" s="2">
        <v>130</v>
      </c>
      <c r="D9" s="2">
        <f>IFERROR(VLOOKUP(A9,Order!$B$1:$G$7,2,0),0)</f>
        <v>0</v>
      </c>
      <c r="E9" s="2" t="str">
        <f>IF(ISNA(VLOOKUP(A9,Order!$B$2:$C$8,1,0)),"Not ordered","Ordered")</f>
        <v>Not ordered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I15" sqref="I15"/>
    </sheetView>
  </sheetViews>
  <sheetFormatPr defaultColWidth="9.109375" defaultRowHeight="14.4"/>
  <cols>
    <col min="2" max="2" width="10.109375" customWidth="1"/>
    <col min="4" max="4" width="11" customWidth="1"/>
    <col min="5" max="5" width="14.6640625" customWidth="1"/>
    <col min="6" max="6" width="14" customWidth="1"/>
    <col min="7" max="7" width="17.33203125" customWidth="1"/>
    <col min="8" max="8" width="10.5546875" customWidth="1"/>
  </cols>
  <sheetData>
    <row r="1" spans="1:8">
      <c r="A1" s="3" t="s">
        <v>13</v>
      </c>
      <c r="B1" s="3" t="s">
        <v>14</v>
      </c>
      <c r="C1" s="3" t="s">
        <v>3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2</v>
      </c>
    </row>
    <row r="2" spans="1:8">
      <c r="A2" s="4">
        <v>1</v>
      </c>
      <c r="B2" s="4">
        <v>101</v>
      </c>
      <c r="C2" s="4">
        <v>2</v>
      </c>
      <c r="D2" s="4">
        <f>IFERROR(VLOOKUP(B2,Product,3,0)*C2, "Not Listed")</f>
        <v>240</v>
      </c>
      <c r="E2" s="4" t="str">
        <f t="shared" ref="E2:E7" si="0">VLOOKUP(B2,Product,2,0)</f>
        <v>Product A</v>
      </c>
      <c r="F2" s="4" t="str">
        <f t="shared" ref="F2:F8" si="1">IF(ISNA(VLOOKUP(B2,Products,1,0)),"Not Found","Found")</f>
        <v>Found</v>
      </c>
      <c r="G2" s="4">
        <f>IF(ISNA(VLOOKUP(B2,Products,1,0)),"Not Listed", D2*0.9)</f>
        <v>216</v>
      </c>
      <c r="H2" s="4">
        <f>IFERROR(VLOOKUP(B2,Product!$A$1:$C$7,3,0),"Not Listed")</f>
        <v>120</v>
      </c>
    </row>
    <row r="3" spans="1:8">
      <c r="A3" s="4">
        <v>2</v>
      </c>
      <c r="B3" s="4">
        <v>103</v>
      </c>
      <c r="C3" s="4">
        <v>1</v>
      </c>
      <c r="D3" s="4">
        <f>IFERROR(VLOOKUP(B3,Product,3,0)*C3, "Not Listed")</f>
        <v>200</v>
      </c>
      <c r="E3" s="4" t="str">
        <f t="shared" si="0"/>
        <v>Product C</v>
      </c>
      <c r="F3" s="4" t="str">
        <f t="shared" si="1"/>
        <v>Found</v>
      </c>
      <c r="G3" s="4">
        <f>IF(ISNA(VLOOKUP(B3,Products,1,0)),"Not Listed", D3*0.9)</f>
        <v>180</v>
      </c>
      <c r="H3" s="4">
        <f>IFERROR(VLOOKUP(B3,Product!$A$1:$C$7,3,0),"Not Listed")</f>
        <v>200</v>
      </c>
    </row>
    <row r="4" spans="1:8">
      <c r="A4" s="4">
        <v>3</v>
      </c>
      <c r="B4" s="4">
        <v>105</v>
      </c>
      <c r="C4" s="4">
        <v>4</v>
      </c>
      <c r="D4" s="4">
        <f>IFERROR(VLOOKUP(B4,Product,3,0)*C4, "Not Listed")</f>
        <v>880</v>
      </c>
      <c r="E4" s="4" t="str">
        <f t="shared" si="0"/>
        <v>Product E</v>
      </c>
      <c r="F4" s="4" t="str">
        <f t="shared" si="1"/>
        <v>Found</v>
      </c>
      <c r="G4" s="4">
        <f>IF(ISNA(VLOOKUP(B4,Products,1,0)),"Not Listed", D4*0.9)</f>
        <v>792</v>
      </c>
      <c r="H4" s="4">
        <f>IFERROR(VLOOKUP(B4,Product!$A$1:$C$7,3,0),"Not Listed")</f>
        <v>220</v>
      </c>
    </row>
    <row r="5" spans="1:8">
      <c r="A5" s="4">
        <v>4</v>
      </c>
      <c r="B5" s="4">
        <v>106</v>
      </c>
      <c r="C5" s="4">
        <v>3</v>
      </c>
      <c r="D5" s="4">
        <f>IFERROR(VLOOKUP(B5,Product,3,0)*C5, "Not Listed")</f>
        <v>390</v>
      </c>
      <c r="E5" s="4" t="str">
        <f t="shared" si="0"/>
        <v>Product F</v>
      </c>
      <c r="F5" s="4" t="str">
        <f t="shared" si="1"/>
        <v>Found</v>
      </c>
      <c r="G5" s="4">
        <f>IF(ISNA(VLOOKUP(B5,Products,1,0)),"Not Listed", D5*0.9)</f>
        <v>351</v>
      </c>
      <c r="H5" s="4">
        <f>IFERROR(VLOOKUP(B5,Product!$A$1:$C$7,3,0),"Not Listed")</f>
        <v>130</v>
      </c>
    </row>
    <row r="6" spans="1:8">
      <c r="A6" s="4">
        <v>5</v>
      </c>
      <c r="B6" s="4">
        <v>102</v>
      </c>
      <c r="C6" s="4">
        <v>5</v>
      </c>
      <c r="D6" s="4">
        <f>IFERROR(VLOOKUP(B6,Product,3,0)*C6, "Not Listed")</f>
        <v>750</v>
      </c>
      <c r="E6" s="4" t="str">
        <f t="shared" si="0"/>
        <v>Product B</v>
      </c>
      <c r="F6" s="4" t="str">
        <f t="shared" si="1"/>
        <v>Found</v>
      </c>
      <c r="G6" s="4">
        <f>IF(ISNA(VLOOKUP(B6,Products,1,0)),"Not Listed", D6*0.9)</f>
        <v>675</v>
      </c>
      <c r="H6" s="4">
        <f>IFERROR(VLOOKUP(B6,Product!$A$1:$C$7,3,0),"Not Listed")</f>
        <v>150</v>
      </c>
    </row>
    <row r="7" spans="1:8">
      <c r="A7" s="4">
        <v>6</v>
      </c>
      <c r="B7" s="4">
        <v>104</v>
      </c>
      <c r="C7" s="4">
        <v>6</v>
      </c>
      <c r="D7" s="4">
        <f>IFERROR(VLOOKUP(B7,Product,3,0)*C7, "Not Listed")</f>
        <v>540</v>
      </c>
      <c r="E7" s="4" t="str">
        <f t="shared" si="0"/>
        <v>Product D</v>
      </c>
      <c r="F7" s="4" t="str">
        <f t="shared" si="1"/>
        <v>Found</v>
      </c>
      <c r="G7" s="4">
        <f>IF(ISNA(VLOOKUP(B7,Products,1,0)),"Not Listed", D7*0.9)</f>
        <v>486</v>
      </c>
      <c r="H7" s="4">
        <f>IFERROR(VLOOKUP(B7,Product!$A$1:$C$7,3,0),"Not Listed")</f>
        <v>90</v>
      </c>
    </row>
    <row r="8" spans="1:8">
      <c r="A8" s="4">
        <v>7</v>
      </c>
      <c r="B8" s="4">
        <v>107</v>
      </c>
      <c r="C8" s="4">
        <v>7</v>
      </c>
      <c r="D8" s="4" t="str">
        <f>IFERROR(VLOOKUP(B8,Product,3,0)*C8, "Not Listed")</f>
        <v>Not Listed</v>
      </c>
      <c r="E8" s="4" t="s">
        <v>19</v>
      </c>
      <c r="F8" s="4" t="str">
        <f t="shared" si="1"/>
        <v>Not Found</v>
      </c>
      <c r="G8" s="4" t="str">
        <f>IF(ISNA(VLOOKUP(B8,Products,1,0)),"Not Listed", D8*0.9)</f>
        <v>Not Listed</v>
      </c>
      <c r="H8" s="4" t="str">
        <f>IFERROR(VLOOKUP(B8,Product!$A$1:$C$7,3,0),"Not Listed")</f>
        <v>Not Listed</v>
      </c>
    </row>
    <row r="11" spans="1:8">
      <c r="E11" s="1" t="s">
        <v>20</v>
      </c>
    </row>
    <row r="12" spans="1:8">
      <c r="E12" s="2">
        <f>MAX(D2:D8)</f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Product</vt:lpstr>
      <vt:lpstr>Order</vt:lpstr>
      <vt:lpstr>Orders</vt:lpstr>
      <vt:lpstr>Product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Shubhradeep Das</cp:lastModifiedBy>
  <dcterms:created xsi:type="dcterms:W3CDTF">2026-01-08T09:17:00Z</dcterms:created>
  <dcterms:modified xsi:type="dcterms:W3CDTF">2026-01-12T13:46:09Z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5D6E8AA355034756B7C9A7C907CB2DDC_11</vt:lpwstr>
  </property>
  <property fmtid="{D5CDD505-2E9C-101B-9397-08002B2CF9AE}" pid="3" name="KSOProductBuildVer">
    <vt:lpwstr>1033-12.2.0.23196</vt:lpwstr>
  </property>
</Properties>
</file>