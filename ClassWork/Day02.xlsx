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definedNames>
    <definedName name="tABLE">Sheet1!$E$8:$H$13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<sst xmlns="http://schemas.openxmlformats.org/spreadsheetml/2006/main" count="52" uniqueCount="33">
  <si>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 xml:space="preserve"> </t>
  </si>
  <si>
    <t>OrderID</t>
  </si>
  <si>
    <t>Region</t>
  </si>
  <si>
    <t>Category</t>
  </si>
  <si>
    <t>Sales</t>
  </si>
  <si>
    <t>Quantity</t>
  </si>
  <si>
    <t>Month</t>
  </si>
  <si>
    <t>Totalsale</t>
  </si>
  <si>
    <t>East</t>
  </si>
  <si>
    <t>Electronics</t>
  </si>
  <si>
    <t>Jan</t>
  </si>
  <si>
    <t>West</t>
  </si>
  <si>
    <t>Furniture</t>
  </si>
  <si>
    <t>Name</t>
  </si>
  <si>
    <t>s1</t>
  </si>
  <si>
    <t>s2</t>
  </si>
  <si>
    <t>s3</t>
  </si>
  <si>
    <t>sum1</t>
  </si>
  <si>
    <t>sum2</t>
  </si>
  <si>
    <t>Avg1</t>
  </si>
  <si>
    <t>Avg2</t>
  </si>
  <si>
    <t>Avg3</t>
  </si>
  <si>
    <t>Feb</t>
  </si>
  <si>
    <t>A</t>
  </si>
  <si>
    <t>South</t>
  </si>
  <si>
    <t>Clothing</t>
  </si>
  <si>
    <t>B</t>
  </si>
  <si>
    <t>North</t>
  </si>
  <si>
    <t>Mar</t>
  </si>
  <si>
    <t>C</t>
  </si>
  <si>
    <t>D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</si>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</sst>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NumberFormat="1" applyFill="1" applyBorder="1">
      <alignment vertical="center"/>
    </xf>
    <xf numFmtId="0" fontId="0" fillId="4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U23"/>
  <sheetViews>
    <sheetView tabSelected="1" topLeftCell="G3" workbookViewId="0">
      <selection activeCell="Q20" sqref="Q20"/>
    </sheetView>
  </sheetViews>
  <sheetFormatPr defaultColWidth="9.14285714285714" defaultRowHeight="15"/>
  <cols>
    <col min="7" max="7" width="19.7809523809524" customWidth="1"/>
    <col min="10" max="10" width="11.5714285714286" customWidth="1"/>
    <col min="11" max="11" width="12.8571428571429"/>
    <col min="12" max="12" width="14.2095238095238" customWidth="1"/>
    <col min="17" max="17" width="11.2857142857143" customWidth="1"/>
  </cols>
  <sheetData>
    <row r="4" spans="11:11">
      <c r="K4" t="s">
        <v>0</v>
      </c>
    </row>
    <row r="5" spans="15:21">
      <c r="O5" s="1" t="s">
        <v>1</v>
      </c>
      <c r="P5" s="1" t="s">
        <v>2</v>
      </c>
      <c r="Q5" s="1" t="s">
        <v>3</v>
      </c>
      <c r="R5" s="1" t="s">
        <v>4</v>
      </c>
      <c r="S5" s="1" t="s">
        <v>5</v>
      </c>
      <c r="T5" s="1" t="s">
        <v>6</v>
      </c>
      <c r="U5" s="1" t="s">
        <v>7</v>
      </c>
    </row>
    <row r="6" spans="15:21">
      <c r="O6" s="2">
        <v>101</v>
      </c>
      <c r="P6" s="2" t="s">
        <v>8</v>
      </c>
      <c r="Q6" s="2" t="s">
        <v>9</v>
      </c>
      <c r="R6" s="2">
        <v>25000</v>
      </c>
      <c r="S6" s="2">
        <v>5</v>
      </c>
      <c r="T6" s="2" t="s">
        <v>10</v>
      </c>
      <c r="U6" s="2">
        <f>R6*S6</f>
        <v>125000</v>
      </c>
    </row>
    <row r="7" spans="15:21">
      <c r="O7" s="2">
        <v>102</v>
      </c>
      <c r="P7" s="2" t="s">
        <v>11</v>
      </c>
      <c r="Q7" s="2" t="s">
        <v>12</v>
      </c>
      <c r="R7" s="2">
        <v>18000</v>
      </c>
      <c r="S7" s="2">
        <v>3</v>
      </c>
      <c r="T7" s="2" t="s">
        <v>10</v>
      </c>
      <c r="U7" s="2">
        <f t="shared" ref="U7:U15" si="0">R7*S7</f>
        <v>54000</v>
      </c>
    </row>
    <row r="8" spans="5:21"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18</v>
      </c>
      <c r="K8" s="1" t="s">
        <v>19</v>
      </c>
      <c r="L8" s="1" t="s">
        <v>20</v>
      </c>
      <c r="M8" s="1" t="s">
        <v>21</v>
      </c>
      <c r="N8"/>
      <c r="O8" s="2">
        <v>103</v>
      </c>
      <c r="P8" s="2" t="s">
        <v>8</v>
      </c>
      <c r="Q8" s="2" t="s">
        <v>9</v>
      </c>
      <c r="R8" s="2">
        <v>30000</v>
      </c>
      <c r="S8" s="2">
        <v>6</v>
      </c>
      <c r="T8" s="2" t="s">
        <v>22</v>
      </c>
      <c r="U8" s="2">
        <f t="shared" si="0"/>
        <v>180000</v>
      </c>
    </row>
    <row r="9" spans="5:21">
      <c r="E9" s="2" t="s">
        <v>23</v>
      </c>
      <c r="F9" s="2">
        <v>56</v>
      </c>
      <c r="G9" s="2">
        <v>78</v>
      </c>
      <c r="H9" s="2">
        <v>65</v>
      </c>
      <c r="I9" s="3">
        <f>SUM(F9:H9)</f>
        <v>199</v>
      </c>
      <c r="J9" s="2">
        <f>SUMIF(F9:H9,"&gt;60")</f>
        <v>143</v>
      </c>
      <c r="K9" s="2">
        <f>AVERAGE(F9:H9)</f>
        <v>66.3333333333333</v>
      </c>
      <c r="L9" s="2">
        <f>AVERAGEIF(F9:H9,"&gt;60")</f>
        <v>71.5</v>
      </c>
      <c r="M9" s="2"/>
      <c r="N9"/>
      <c r="O9" s="2">
        <v>104</v>
      </c>
      <c r="P9" s="2" t="s">
        <v>24</v>
      </c>
      <c r="Q9" s="2" t="s">
        <v>25</v>
      </c>
      <c r="R9" s="2">
        <v>12000</v>
      </c>
      <c r="S9" s="2">
        <v>4</v>
      </c>
      <c r="T9" s="2" t="s">
        <v>22</v>
      </c>
      <c r="U9" s="2">
        <f t="shared" si="0"/>
        <v>48000</v>
      </c>
    </row>
    <row r="10" spans="5:21">
      <c r="E10" s="2" t="s">
        <v>26</v>
      </c>
      <c r="F10" s="2">
        <v>45</v>
      </c>
      <c r="G10" s="2">
        <v>78</v>
      </c>
      <c r="H10" s="2">
        <v>60</v>
      </c>
      <c r="I10" s="3">
        <f>SUM(F10:H10)</f>
        <v>183</v>
      </c>
      <c r="J10" s="2">
        <f>SUMIF(F10:H10,"&gt;60")</f>
        <v>78</v>
      </c>
      <c r="K10" s="2">
        <f>AVERAGE(F10:H10)</f>
        <v>61</v>
      </c>
      <c r="L10" s="2">
        <f>AVERAGEIF(F10:H10,"&gt;60")</f>
        <v>78</v>
      </c>
      <c r="M10" s="2"/>
      <c r="N10"/>
      <c r="O10" s="2">
        <v>105</v>
      </c>
      <c r="P10" s="2" t="s">
        <v>27</v>
      </c>
      <c r="Q10" s="2" t="s">
        <v>12</v>
      </c>
      <c r="R10" s="2">
        <v>22000</v>
      </c>
      <c r="S10" s="2">
        <v>5</v>
      </c>
      <c r="T10" s="2" t="s">
        <v>28</v>
      </c>
      <c r="U10" s="2">
        <f t="shared" si="0"/>
        <v>110000</v>
      </c>
    </row>
    <row r="11" spans="5:21">
      <c r="E11" s="2" t="s">
        <v>29</v>
      </c>
      <c r="F11" s="2">
        <v>89</v>
      </c>
      <c r="G11" s="2">
        <v>59</v>
      </c>
      <c r="H11" s="2">
        <v>80</v>
      </c>
      <c r="I11" s="3">
        <f>SUM(F11:H11)</f>
        <v>228</v>
      </c>
      <c r="J11" s="2">
        <f>SUMIF(F11:H11,"&gt;60")</f>
        <v>169</v>
      </c>
      <c r="K11" s="2">
        <f>AVERAGE(F11:H11)</f>
        <v>76</v>
      </c>
      <c r="L11" s="2">
        <f>AVERAGEIF(F11:H11,"&gt;60")</f>
        <v>84.5</v>
      </c>
      <c r="M11" s="2"/>
      <c r="N11"/>
      <c r="O11" s="2">
        <v>106</v>
      </c>
      <c r="P11" s="2" t="s">
        <v>8</v>
      </c>
      <c r="Q11" s="2" t="s">
        <v>25</v>
      </c>
      <c r="R11" s="2">
        <v>15000</v>
      </c>
      <c r="S11" s="2">
        <v>3</v>
      </c>
      <c r="T11" s="2" t="s">
        <v>28</v>
      </c>
      <c r="U11" s="2">
        <f t="shared" si="0"/>
        <v>45000</v>
      </c>
    </row>
    <row r="12" spans="5:21">
      <c r="E12" s="2" t="s">
        <v>30</v>
      </c>
      <c r="F12" s="2">
        <v>97</v>
      </c>
      <c r="G12" s="2">
        <v>78</v>
      </c>
      <c r="H12" s="2">
        <v>45</v>
      </c>
      <c r="I12" s="3">
        <f>SUM(F12:H12)</f>
        <v>220</v>
      </c>
      <c r="J12" s="2">
        <f>SUMIF(F12:H12,"&gt;60")</f>
        <v>175</v>
      </c>
      <c r="K12" s="2">
        <f>AVERAGE(F12:H12)</f>
        <v>73.3333333333333</v>
      </c>
      <c r="L12" s="2">
        <f>AVERAGEIF(F12:H12,"&gt;60")</f>
        <v>87.5</v>
      </c>
      <c r="M12" s="2"/>
      <c r="O12" s="2">
        <v>107</v>
      </c>
      <c r="P12" s="2" t="s">
        <v>11</v>
      </c>
      <c r="Q12" s="2" t="s">
        <v>9</v>
      </c>
      <c r="R12" s="2">
        <v>28000</v>
      </c>
      <c r="S12" s="2">
        <v>7</v>
      </c>
      <c r="T12" s="2" t="s">
        <v>31</v>
      </c>
      <c r="U12" s="2">
        <f t="shared" si="0"/>
        <v>196000</v>
      </c>
    </row>
    <row r="13" spans="5:21">
      <c r="E13" s="2" t="s">
        <v>23</v>
      </c>
      <c r="F13" s="2">
        <v>50</v>
      </c>
      <c r="G13" s="2">
        <v>83</v>
      </c>
      <c r="H13" s="2">
        <v>57</v>
      </c>
      <c r="I13" s="3">
        <f>SUM(F13:H13)</f>
        <v>190</v>
      </c>
      <c r="J13" s="2">
        <f>SUMIF(F13:H13,"&gt;60")</f>
        <v>83</v>
      </c>
      <c r="K13" s="2">
        <f>AVERAGE(F13:H13)</f>
        <v>63.3333333333333</v>
      </c>
      <c r="L13" s="2">
        <f>AVERAGEIF(F13:H13,"&gt;60")</f>
        <v>83</v>
      </c>
      <c r="M13" s="2"/>
      <c r="O13" s="2">
        <v>108</v>
      </c>
      <c r="P13" s="2" t="s">
        <v>24</v>
      </c>
      <c r="Q13" s="2" t="s">
        <v>12</v>
      </c>
      <c r="R13" s="2">
        <v>20000</v>
      </c>
      <c r="S13" s="2">
        <v>4</v>
      </c>
      <c r="T13" s="2" t="s">
        <v>31</v>
      </c>
      <c r="U13" s="2">
        <f t="shared" si="0"/>
        <v>80000</v>
      </c>
    </row>
    <row r="14" spans="15:21">
      <c r="O14" s="2">
        <v>109</v>
      </c>
      <c r="P14" s="2" t="s">
        <v>27</v>
      </c>
      <c r="Q14" s="2" t="s">
        <v>9</v>
      </c>
      <c r="R14" s="2">
        <v>32000</v>
      </c>
      <c r="S14" s="2">
        <v>8</v>
      </c>
      <c r="T14" s="2" t="s">
        <v>32</v>
      </c>
      <c r="U14" s="2">
        <f t="shared" si="0"/>
        <v>256000</v>
      </c>
    </row>
    <row r="15" spans="15:21">
      <c r="O15" s="2">
        <v>110</v>
      </c>
      <c r="P15" s="2" t="s">
        <v>8</v>
      </c>
      <c r="Q15" s="2" t="s">
        <v>12</v>
      </c>
      <c r="R15" s="2">
        <v>24000</v>
      </c>
      <c r="S15" s="2">
        <v>6</v>
      </c>
      <c r="T15" s="2" t="s">
        <v>32</v>
      </c>
      <c r="U15" s="2">
        <f t="shared" si="0"/>
        <v>144000</v>
      </c>
    </row>
    <row r="16" spans="7:12">
      <c r="G16">
        <f>COUNTIF(H9:H13,"&gt;60")</f>
        <v>2</v>
      </c>
      <c r="L16">
        <f>SUMIFS(G9:G13,E9:E13,"=A")</f>
        <v>161</v>
      </c>
    </row>
    <row r="17" spans="7:7">
      <c r="G17">
        <f>COUNTIFS(H9:H13,"&gt;60",H9:H13,"&lt;90")</f>
        <v>2</v>
      </c>
    </row>
    <row r="18" spans="7:15">
      <c r="G18">
        <f>COUNTIFS(G9:G13,"&gt;50",E9:E13,"=A")</f>
        <v>2</v>
      </c>
      <c r="N18" s="1">
        <v>2</v>
      </c>
      <c r="O18" s="4">
        <f>SUMIF(P6:P15,"East",U6:U15)</f>
        <v>494000</v>
      </c>
    </row>
    <row r="19" spans="14:15">
      <c r="N19" s="1">
        <v>3</v>
      </c>
      <c r="O19" s="4">
        <f>SUMIF(Q6:Q15,"Electronics",U6:U15)</f>
        <v>757000</v>
      </c>
    </row>
    <row r="20" spans="14:15">
      <c r="N20" s="1">
        <v>4</v>
      </c>
      <c r="O20" s="4">
        <f>SUMIFS(U6:U15,P6:P15,"East",Q6:Q15,"Electronics")</f>
        <v>305000</v>
      </c>
    </row>
    <row r="21" spans="14:15">
      <c r="N21" s="1">
        <v>5</v>
      </c>
      <c r="O21" s="4">
        <f>SUMIF(T6:T15,"Jan",U6:U15)</f>
        <v>179000</v>
      </c>
    </row>
    <row r="22" spans="14:15">
      <c r="N22" s="1">
        <v>6</v>
      </c>
      <c r="O22" s="4">
        <f>SUMIF(Q6:Q15,"Electronics",S6:S15)</f>
        <v>26</v>
      </c>
    </row>
    <row r="23" spans="14:15">
      <c r="N23" s="1">
        <v>7</v>
      </c>
      <c r="O23" s="4">
        <f>SUMIFS(S6:S15,Q6:Q15,"Electronics",P6:P15,"East")</f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2026-01-08T09:17:21Z</dcterms:created>
  <dcterms:modified xsi:type="dcterms:W3CDTF">2026-01-08T11:27:50Z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5D6E8AA355034756B7C9A7C907CB2DDC_11</vt:lpwstr>
  </property>
  <property fmtid="{D5CDD505-2E9C-101B-9397-08002B2CF9AE}" pid="3" name="KSOProductBuildVer">
    <vt:lpwstr>1033-12.2.0.23196</vt:lpwstr>
  </property>
</Properties>
</file>