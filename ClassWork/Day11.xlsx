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nudip\Desktop\2475\"/>
    </mc:Choice>
  </mc:AlternateContent>
  <xr:revisionPtr revIDLastSave="0" documentId="13_ncr:1_{79838F7D-253F-4A2B-A21B-935ED8CB2E39}" xr6:coauthVersionLast="47" xr6:coauthVersionMax="47" xr10:uidLastSave="{00000000-0000-0000-0000-000000000000}"/>
  <bookViews>
    <workbookView xWindow="-120" yWindow="-120" windowWidth="20730" windowHeight="11040" activeTab="3" xr2:uid="{00000000-000D-0000-FFFF-FFFF00000000}"/>
  </bookViews>
  <sheets>
    <sheet name="Sheet3" sheetId="3" r:id="rId1"/>
    <sheet name="Sheet4" sheetId="4" r:id="rId2"/>
    <sheet name="Sheet1" sheetId="5" r:id="rId3"/>
    <sheet name="Sheet5" sheetId="7" r:id="rId4"/>
    <sheet name="Sheet2" sheetId="6" r:id="rId5"/>
  </sheets>
  <definedNames>
    <definedName name="NativeTimeline_Order_Date">#N/A</definedName>
    <definedName name="Slicer_Category">#N/A</definedName>
    <definedName name="Slicer_Region">#N/A</definedName>
  </definedNames>
  <calcPr calcId="191029"/>
  <pivotCaches>
    <pivotCache cacheId="46" r:id="rId6"/>
    <pivotCache cacheId="66" r:id="rId7"/>
    <pivotCache cacheId="76"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Lst>
</workbook>
</file>

<file path=xl/sharedStrings.xml><?xml version="1.0" encoding="utf-8"?>
<sst xmlns="http://schemas.openxmlformats.org/spreadsheetml/2006/main" count="1279" uniqueCount="162">
  <si>
    <t>Order ID</t>
  </si>
  <si>
    <t>Order Date</t>
  </si>
  <si>
    <t>Customer Name</t>
  </si>
  <si>
    <t>Region</t>
  </si>
  <si>
    <t>Category</t>
  </si>
  <si>
    <t>Sub-Category</t>
  </si>
  <si>
    <t>Quantity</t>
  </si>
  <si>
    <t>Unit Price</t>
  </si>
  <si>
    <t>Discount</t>
  </si>
  <si>
    <t>Total Sales</t>
  </si>
  <si>
    <t>Profit</t>
  </si>
  <si>
    <t>Payment Mode</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</si>
  <si>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</si>
  <si>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</si>
  <si>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</si>
  <si>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</si>
  <si>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</si>
  <si>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</si>
  <si>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</si>
  <si>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</si>
  <si>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</si>
  <si>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</si>
  <si>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</si>
  <si>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</si>
  <si>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</si>
  <si>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</si>
  <si>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</si>
  <si>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</si>
  <si>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</si>
  <si>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</si>
  <si>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</si>
  <si>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</si>
  <si>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</si>
  <si>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</si>
  <si>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</si>
  <si>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</si>
  <si>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</si>
  <si>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</si>
  <si>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</si>
  <si>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</si>
  <si>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</si>
  <si>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</si>
  <si>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</si>
  <si>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</si>
  <si>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</si>
  <si>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</si>
  <si>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</si>
  <si>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</si>
  <si>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</si>
  <si>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</si>
  <si>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</si>
  <si>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</si>
  <si>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</si>
  <si>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</si>
  <si>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</si>
  <si>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</si>
  <si>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</si>
  <si>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</si>
  <si>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</si>
  <si>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</si>
  <si>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</si>
  <si>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</si>
  <si>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</si>
  <si>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</si>
  <si>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</si>
  <si>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</si>
  <si>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</si>
  <si>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</si>
  <si>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</si>
  <si>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</si>
  <si>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</si>
  <si>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</si>
  <si>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</si>
  <si>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</si>
  <si>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</si>
  <si>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</si>
  <si>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</si>
  <si>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</si>
  <si>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</si>
  <si>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</si>
  <si>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</si>
  <si>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</si>
  <si>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</si>
  <si>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</si>
  <si>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</si>
  <si>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</si>
  <si>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</si>
  <si>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</si>
  <si>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</si>
  <si>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</si>
  <si>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</si>
  <si>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</si>
  <si>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</si>
  <si>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</si>
  <si>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</si>
  <si>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</si>
  <si>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</si>
  <si>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</si>
  <si>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</si>
  <si>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</si>
  <si>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</si>
  <si>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</si>
  <si>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</si>
  <si>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</si>
  <si>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</si>
  <si>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</si>
  <si>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</si>
  <si>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</si>
  <si>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</si>
  <si>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</si>
  <si>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</si>
  <si>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</si>
  <si>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</si>
  <si>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</si>
  <si>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</si>
  <si>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</si>
  <si>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</si>
  <si>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</si>
  <si>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</si>
  <si>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</si>
  <si>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</si>
  <si>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</si>
  <si>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</si>
  <si>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</si>
  <si>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</si>
  <si>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</si>
  <si>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</si>
  <si>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</si>
  <si>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</si>
  <si>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</si>
  <si>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</si>
  <si>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</si>
  <si>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</si>
  <si>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</si>
  <si>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</si>
  <si>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</si>
  <si>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</si>
  <si>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</si>
  <si>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</si>
  <si>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</si>
  <si>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</si>
  <si>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</si>
  <si>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Grand Total</t>
  </si>
  <si>
    <t>Sum of Total Sales</t>
  </si>
  <si>
    <t>Row Labels</t>
  </si>
  <si>
    <t>Sum of Profit</t>
  </si>
  <si>
    <t>Sale1</t>
  </si>
  <si>
    <t>Jan</t>
  </si>
  <si>
    <t>Feb</t>
  </si>
  <si>
    <t>Mar</t>
  </si>
  <si>
    <t>Apr</t>
  </si>
  <si>
    <t>May</t>
  </si>
  <si>
    <t>Jun</t>
  </si>
  <si>
    <t>Jul</t>
  </si>
  <si>
    <t>Aug</t>
  </si>
  <si>
    <t>Sep</t>
  </si>
  <si>
    <t>Oct</t>
  </si>
  <si>
    <t>Nov</t>
  </si>
  <si>
    <t>Dec</t>
  </si>
  <si>
    <t>Sum of Incentive</t>
  </si>
  <si>
    <t>(blank)</t>
  </si>
  <si>
    <t>Sum of 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</si>
</sst>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Calibri"/>
      <charset val="134"/>
      <scheme val="minor"/>
    </font>
    <font>
      <b/>
      <sz val="11"/>
      <color theme="1"/>
      <name val="Calibri"/>
      <charset val="134"/>
      <scheme val="minor"/>
    </font>
    <font>
      <sz val="11"/>
      <color theme="1"/>
      <name val="Calibri"/>
      <charset val="134"/>
      <scheme val="minor"/>
    </font>
  </fonts>
  <fills count="4">
    <fill>
      <patternFill patternType="none"/>
    </fill>
    <fill>
      <patternFill patternType="gray125"/>
    </fill>
    <fill>
      <patternFill patternType="solid">
        <fgColor theme="9" tint="0.39994506668294322"/>
        <bgColor indexed="64"/>
      </patternFill>
    </fill>
    <fill>
      <patternFill patternType="solid">
        <fgColor theme="9" tint="0.3999450666829432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0" fontId="1" fillId="2" borderId="1" xfId="0" applyFont="1" applyFill="1" applyBorder="1" applyAlignment="1"/>
    <xf numFmtId="14" fontId="1" fillId="2" borderId="1" xfId="0" applyNumberFormat="1" applyFont="1" applyFill="1" applyBorder="1" applyAlignment="1"/>
    <xf numFmtId="0" fontId="2" fillId="0" borderId="1" xfId="0" applyFont="1" applyBorder="1" applyAlignment="1"/>
    <xf numFmtId="14" fontId="2" fillId="0" borderId="1" xfId="0" applyNumberFormat="1" applyFont="1" applyBorder="1" applyAlignment="1"/>
    <xf numFmtId="0" fontId="0" fillId="0" borderId="0" xfId="0" pivotButton="1">
      <alignment vertical="center"/>
    </xf>
    <xf numFmtId="0" fontId="0" fillId="0" borderId="0" xfId="0" applyNumberFormat="1">
      <alignment vertical="center"/>
    </xf>
    <xf numFmtId="0" fontId="0" fillId="0" borderId="0" xfId="0" applyAlignment="1">
      <alignment horizontal="left" vertical="center"/>
    </xf>
    <xf numFmtId="0" fontId="1" fillId="3" borderId="2" xfId="0" applyFont="1" applyFill="1" applyBorder="1" applyAlignment="1"/>
    <xf numFmtId="0" fontId="0" fillId="0" borderId="1" xfId="0" applyFont="1" applyFill="1" applyBorder="1" applyAlignment="1"/>
    <xf numFmtId="0" fontId="0" fillId="0" borderId="0" xfId="0" applyAlignment="1">
      <alignment horizontal="left" vertical="center" indent="1"/>
    </xf>
    <xf numFmtId="0" fontId="0" fillId="0" borderId="0" xfId="0" applyAlignment="1">
      <alignment horizontal="left" vertical="center" indent="2"/>
    </xf>
    <xf numFmtId="0" fontId="0" fillId="0" borderId="1" xfId="0" pivotButton="1" applyBorder="1">
      <alignment vertical="center"/>
    </xf>
    <xf numFmtId="0" fontId="0" fillId="0" borderId="1" xfId="0" applyBorder="1">
      <alignment vertical="center"/>
    </xf>
    <xf numFmtId="0" fontId="0" fillId="0" borderId="3" xfId="0" applyNumberFormat="1" applyBorder="1">
      <alignment vertical="center"/>
    </xf>
    <xf numFmtId="0" fontId="0" fillId="0" borderId="2" xfId="0" applyNumberFormat="1" applyBorder="1">
      <alignment vertical="center"/>
    </xf>
    <xf numFmtId="0" fontId="0" fillId="0" borderId="4" xfId="0" applyNumberFormat="1" applyBorder="1">
      <alignment vertical="center"/>
    </xf>
    <xf numFmtId="0" fontId="0" fillId="0" borderId="3" xfId="0" applyBorder="1">
      <alignment vertical="center"/>
    </xf>
    <xf numFmtId="0" fontId="0" fillId="0" borderId="2"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7" xfId="0" applyBorder="1">
      <alignment vertical="center"/>
    </xf>
  </cellXfs>
  <cellStyles count="1">
    <cellStyle name="Normal" xfId="0" builtinId="0"/>
  </cellStyles>
  <dxfs count="233">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32"/>
      <tableStyleElement type="headerRow" dxfId="231"/>
      <tableStyleElement type="totalRow" dxfId="230"/>
      <tableStyleElement type="firstColumn" dxfId="229"/>
      <tableStyleElement type="lastColumn" dxfId="228"/>
      <tableStyleElement type="firstRowStripe" dxfId="227"/>
      <tableStyleElement type="firstColumnStripe" dxfId="226"/>
    </tableStyle>
    <tableStyle name="PivotStylePreset2_Accent1" table="0" count="10" xr9:uid="{267968C8-6FFD-4C36-ACC1-9EA1FD1885CA}">
      <tableStyleElement type="headerRow" dxfId="225"/>
      <tableStyleElement type="totalRow" dxfId="224"/>
      <tableStyleElement type="firstRowStripe" dxfId="223"/>
      <tableStyleElement type="firstColumnStripe" dxfId="222"/>
      <tableStyleElement type="firstSubtotalRow" dxfId="221"/>
      <tableStyleElement type="secondSubtotalRow" dxfId="220"/>
      <tableStyleElement type="firstRowSubheading" dxfId="219"/>
      <tableStyleElement type="secondRowSubheading" dxfId="218"/>
      <tableStyleElement type="pageFieldLabels" dxfId="217"/>
      <tableStyleElement type="pageFieldValues" dxfId="2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[Day11.xlsx]Sheet5!PivotTable9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Sheet5!$A$2:$A$6</c:f>
              <c:strCache>
                <c:ptCount val="4"/>
                <c:pt idx="0">
                  <c:v>East</c:v>
                </c:pt>
                <c:pt idx="1">
                  <c:v>North</c:v>
                </c:pt>
                <c:pt idx="2">
                  <c:v>South</c:v>
                </c:pt>
                <c:pt idx="3">
                  <c:v>West</c:v>
                </c:pt>
              </c:strCache>
            </c:strRef>
          </c:cat>
          <c:val>
            <c:numRef>
              <c:f>Sheet5!$B$2:$B$6</c:f>
              <c:numCache>
                <c:formatCode>General</c:formatCode>
                <c:ptCount val="4"/>
                <c:pt idx="0">
                  <c:v>156466.77000000002</c:v>
                </c:pt>
                <c:pt idx="1">
                  <c:v>105069.5</c:v>
                </c:pt>
                <c:pt idx="2">
                  <c:v>99449.71</c:v>
                </c:pt>
                <c:pt idx="3">
                  <c:v>130089.14999999998</c:v>
                </c:pt>
              </c:numCache>
            </c:numRef>
          </c:val>
          <c:extLst>
            <c:ext xmlns:c16="http://schemas.microsoft.com/office/drawing/2014/chart" uri="{C3380CC4-5D6E-409C-BE32-E72D297353CC}">
              <c16:uniqueId val="{00000000-5F0F-4572-B31F-F64FED2571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[Day11.xlsx]Sheet2!PivotTable8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Sheet2!$A$2:$A$16</c:f>
              <c:strCache>
                <c:ptCount val="14"/>
                <c:pt idx="0">
                  <c:v>Jan</c:v>
                </c:pt>
                <c:pt idx="1">
                  <c:v>Feb</c:v>
                </c:pt>
                <c:pt idx="2">
                  <c:v>Mar</c:v>
                </c:pt>
                <c:pt idx="3">
                  <c:v>Apr</c:v>
                </c:pt>
                <c:pt idx="4">
                  <c:v>May</c:v>
                </c:pt>
                <c:pt idx="5">
                  <c:v>Jun</c:v>
                </c:pt>
                <c:pt idx="6">
                  <c:v>Jul</c:v>
                </c:pt>
                <c:pt idx="7">
                  <c:v>Aug</c:v>
                </c:pt>
                <c:pt idx="8">
                  <c:v>Sep</c:v>
                </c:pt>
                <c:pt idx="9">
                  <c:v>Oct</c:v>
                </c:pt>
                <c:pt idx="10">
                  <c:v>Nov</c:v>
                </c:pt>
                <c:pt idx="11">
                  <c:v>Dec</c:v>
                </c:pt>
                <c:pt idx="12">
                  <c:v>Grand Total</c:v>
                </c:pt>
                <c:pt idx="13">
                  <c:v>(blank)</c:v>
                </c:pt>
              </c:strCache>
            </c:strRef>
          </c:cat>
          <c:val>
            <c:numRef>
              <c:f>Sheet2!$B$2:$B$16</c:f>
              <c:numCache>
                <c:formatCode>General</c:formatCode>
                <c:ptCount val="14"/>
                <c:pt idx="0">
                  <c:v>47322.349999999991</c:v>
                </c:pt>
                <c:pt idx="1">
                  <c:v>62559.839999999997</c:v>
                </c:pt>
                <c:pt idx="2">
                  <c:v>19909.03</c:v>
                </c:pt>
                <c:pt idx="3">
                  <c:v>44310.17</c:v>
                </c:pt>
                <c:pt idx="4">
                  <c:v>22554.239999999998</c:v>
                </c:pt>
                <c:pt idx="5">
                  <c:v>24101.27</c:v>
                </c:pt>
                <c:pt idx="6">
                  <c:v>33977.269999999997</c:v>
                </c:pt>
                <c:pt idx="7">
                  <c:v>50714.99</c:v>
                </c:pt>
                <c:pt idx="8">
                  <c:v>42323.599999999991</c:v>
                </c:pt>
                <c:pt idx="9">
                  <c:v>47650.590000000004</c:v>
                </c:pt>
                <c:pt idx="10">
                  <c:v>40175.599999999999</c:v>
                </c:pt>
                <c:pt idx="11">
                  <c:v>55476.180000000008</c:v>
                </c:pt>
                <c:pt idx="12">
                  <c:v>491075.12999999995</c:v>
                </c:pt>
              </c:numCache>
            </c:numRef>
          </c:val>
          <c:extLst>
            <c:ext xmlns:c16="http://schemas.microsoft.com/office/drawing/2014/chart" uri="{C3380CC4-5D6E-409C-BE32-E72D297353CC}">
              <c16:uniqueId val="{00000002-F6A8-48AD-B892-69699805F700}"/>
            </c:ext>
          </c:extLst>
        </c:ser>
        <c:dLbls>
          <c:showLegendKey val="0"/>
          <c:showVal val="0"/>
          <c:showCatName val="0"/>
          <c:showSerName val="0"/>
          <c:showPercent val="0"/>
          <c:showBubbleSize val="0"/>
        </c:dLbls>
        <c:gapWidth val="100"/>
        <c:overlap val="-24"/>
        <c:axId val="1467648495"/>
        <c:axId val="1467649455"/>
      </c:barChart>
      <c:catAx>
        <c:axId val="1467648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649455"/>
        <c:crosses val="autoZero"/>
        <c:auto val="1"/>
        <c:lblAlgn val="ctr"/>
        <c:lblOffset val="100"/>
        <c:noMultiLvlLbl val="0"/>
      </c:catAx>
      <c:valAx>
        <c:axId val="14676494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764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20</xdr:col>
      <xdr:colOff>381000</xdr:colOff>
      <xdr:row>2</xdr:row>
      <xdr:rowOff>9525</xdr:rowOff>
    </xdr:from>
    <xdr:to>
      <xdr:col>23</xdr:col>
      <xdr:colOff>381000</xdr:colOff>
      <xdr:row>15</xdr:row>
      <xdr:rowOff>57150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3F368D8D-3207-A4AB-F58B-7FD92AD13F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392775" y="39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371475</xdr:colOff>
      <xdr:row>2</xdr:row>
      <xdr:rowOff>9525</xdr:rowOff>
    </xdr:from>
    <xdr:to>
      <xdr:col>26</xdr:col>
      <xdr:colOff>371475</xdr:colOff>
      <xdr:row>15</xdr:row>
      <xdr:rowOff>57150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F559611-4E22-52C3-6B68-1F095090FB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212050" y="39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552450</xdr:colOff>
      <xdr:row>15</xdr:row>
      <xdr:rowOff>47625</xdr:rowOff>
    </xdr:from>
    <xdr:to>
      <xdr:col>26</xdr:col>
      <xdr:colOff>228600</xdr:colOff>
      <xdr:row>22</xdr:row>
      <xdr:rowOff>85725</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C752432E-1176-D33F-448C-2A1286B49EB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8564225" y="29051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609599</xdr:colOff>
      <xdr:row>1</xdr:row>
      <xdr:rowOff>0</xdr:rowOff>
    </xdr:from>
    <xdr:to>
      <xdr:col>12</xdr:col>
      <xdr:colOff>390524</xdr:colOff>
      <xdr:row>15</xdr:row>
      <xdr:rowOff>76200</xdr:rowOff>
    </xdr:to>
    <xdr:graphicFrame macro="">
      <xdr:nvGraphicFramePr>
        <xdr:cNvPr id="2" name="Chart 1">
          <a:extLst>
            <a:ext uri="{FF2B5EF4-FFF2-40B4-BE49-F238E27FC236}">
              <a16:creationId xmlns:a16="http://schemas.microsoft.com/office/drawing/2014/main" id="{4BF04A70-73CD-7A0C-1439-5821B4E30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28574</xdr:colOff>
      <xdr:row>0</xdr:row>
      <xdr:rowOff>4762</xdr:rowOff>
    </xdr:from>
    <xdr:to>
      <xdr:col>13</xdr:col>
      <xdr:colOff>0</xdr:colOff>
      <xdr:row>16</xdr:row>
      <xdr:rowOff>0</xdr:rowOff>
    </xdr:to>
    <xdr:graphicFrame macro="">
      <xdr:nvGraphicFramePr>
        <xdr:cNvPr id="2" name="Chart 1">
          <a:extLst>
            <a:ext uri="{FF2B5EF4-FFF2-40B4-BE49-F238E27FC236}">
              <a16:creationId xmlns:a16="http://schemas.microsoft.com/office/drawing/2014/main" id="{84D9B220-4F47-E7DD-EBDE-345DFA512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050.630269675923" createdVersion="5" refreshedVersion="8" minRefreshableVersion="3" recordCount="100" xr:uid="{00000000-000A-0000-FFFF-FFFF00000000}">
  <cacheSource type="worksheet">
    <worksheetSource ref="A1:L101" sheet="Sheet3"/>
  </cacheSource>
  <cacheFields count="12">
    <cacheField name="Order ID" numFmtId="0">
      <sharedItems count="1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haredItems>
    </cacheField>
    <cacheField name="Order Date" numFmtId="14">
      <sharedItems containsSemiMixedTypes="0" containsNonDate="0" containsDate="1" containsString="0" minDate="2023-01-02T00:00:00" maxDate="2023-12-31T00:00:00"/>
    </cacheField>
    <cacheField name="Customer Name" numFmtId="0">
      <sharedItems count="10">
        <s v="Karan"/>
        <s v="Vikram"/>
        <s v="Simran"/>
        <s v="Sneha"/>
        <s v="Priya"/>
        <s v="Raj"/>
        <s v="Amit"/>
        <s v="Pooja"/>
        <s v="Neha"/>
        <s v="Ravi"/>
      </sharedItems>
    </cacheField>
    <cacheField name="Region" numFmtId="0">
      <sharedItems/>
    </cacheField>
    <cacheField name="Category" numFmtId="0">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050.694859722222" createdVersion="8" refreshedVersion="8" minRefreshableVersion="3" recordCount="14" xr:uid="{52C584AE-4CDC-404E-A9A1-AF684BD045B1}">
  <cacheSource type="worksheet">
    <worksheetSource ref="K3:L17" sheet="Sheet4"/>
  </cacheSource>
  <cacheFields count="2">
    <cacheField name="Row Labels" numFmtId="0">
      <sharedItems containsBlank="1" count="14">
        <s v="Jan"/>
        <s v="Feb"/>
        <s v="Mar"/>
        <s v="Apr"/>
        <s v="May"/>
        <s v="Jun"/>
        <s v="Jul"/>
        <s v="Aug"/>
        <s v="Sep"/>
        <s v="Oct"/>
        <s v="Nov"/>
        <s v="Dec"/>
        <s v="Grand Total"/>
        <m/>
      </sharedItems>
    </cacheField>
    <cacheField name="Sum of Total Sales" numFmtId="0">
      <sharedItems containsString="0" containsBlank="1" containsNumber="1" minValue="19909.03" maxValue="491075.129999999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 refreshedDate="46050.69796759259" createdVersion="8" refreshedVersion="8" minRefreshableVersion="3" recordCount="100" xr:uid="{54FA001B-1260-4D7B-99B9-55598E1A4A44}">
  <cacheSource type="worksheet">
    <worksheetSource ref="A1:M101" sheet="Sheet3"/>
  </cacheSource>
  <cacheFields count="15">
    <cacheField name="Order ID" numFmtId="0">
      <sharedItems count="1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par="13"/>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 name="Sale1" numFmtId="0">
      <sharedItems containsSemiMixedTypes="0" containsString="0" containsNumber="1" containsInteger="1" minValue="200" maxValue="5150"/>
    </cacheField>
    <cacheField name="Months (Order Date)" numFmtId="0" databaseField="0">
      <fieldGroup base="1">
        <rangePr groupBy="months" startDate="2023-01-02T00:00:00" endDate="2023-12-31T00:00:00"/>
        <groupItems count="14">
          <s v="&lt;1/2/2023"/>
          <s v="Jan"/>
          <s v="Feb"/>
          <s v="Mar"/>
          <s v="Apr"/>
          <s v="May"/>
          <s v="Jun"/>
          <s v="Jul"/>
          <s v="Aug"/>
          <s v="Sep"/>
          <s v="Oct"/>
          <s v="Nov"/>
          <s v="Dec"/>
          <s v="&gt;12/31/2023"/>
        </groupItems>
      </fieldGroup>
    </cacheField>
    <cacheField name="Incentive" numFmtId="0" formula="'Total Sales' *10%" databaseField="0"/>
  </cacheFields>
  <extLst>
    <ext xmlns:x14="http://schemas.microsoft.com/office/spreadsheetml/2009/9/main" uri="{725AE2AE-9491-48be-B2B4-4EB974FC3084}">
      <x14:pivotCacheDefinition pivotCacheId="7775798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3-04-13T00:00:00"/>
    <x v="0"/>
    <s v="South"/>
    <s v="Office Supplies"/>
    <s v="Pens"/>
    <n v="3"/>
    <n v="1443.03"/>
    <n v="0.1"/>
    <n v="3896.18"/>
    <n v="964.48"/>
    <s v="UPI"/>
  </r>
  <r>
    <x v="1"/>
    <d v="2023-12-15T00:00:00"/>
    <x v="1"/>
    <s v="East"/>
    <s v="Technology"/>
    <s v="Laptops"/>
    <n v="7"/>
    <n v="1715.07"/>
    <n v="0.15"/>
    <n v="10204.69"/>
    <n v="1354.41"/>
    <s v="Cash"/>
  </r>
  <r>
    <x v="2"/>
    <d v="2023-09-28T00:00:00"/>
    <x v="0"/>
    <s v="East"/>
    <s v="Furniture"/>
    <s v="Bookcases"/>
    <n v="8"/>
    <n v="621.97"/>
    <n v="0.1"/>
    <n v="4478.1899999999996"/>
    <n v="752.58"/>
    <s v="Cash"/>
  </r>
  <r>
    <x v="3"/>
    <d v="2023-04-17T00:00:00"/>
    <x v="2"/>
    <s v="South"/>
    <s v="Office Supplies"/>
    <s v="Paper"/>
    <n v="5"/>
    <n v="1166.43"/>
    <n v="0.1"/>
    <n v="5248.92"/>
    <n v="948.39"/>
    <s v="Net Banking"/>
  </r>
  <r>
    <x v="4"/>
    <d v="2023-03-13T00:00:00"/>
    <x v="0"/>
    <s v="East"/>
    <s v="Furniture"/>
    <s v="Bookcases"/>
    <n v="7"/>
    <n v="1003.2"/>
    <n v="0.2"/>
    <n v="5617.94"/>
    <n v="995.18"/>
    <s v="UPI"/>
  </r>
  <r>
    <x v="5"/>
    <d v="2023-07-08T00:00:00"/>
    <x v="3"/>
    <s v="South"/>
    <s v="Furniture"/>
    <s v="Bookcases"/>
    <n v="4"/>
    <n v="1891.42"/>
    <n v="0.1"/>
    <n v="6809.12"/>
    <n v="1523.17"/>
    <s v="Credit Card"/>
  </r>
  <r>
    <x v="6"/>
    <d v="2023-01-21T00:00:00"/>
    <x v="4"/>
    <s v="South"/>
    <s v="Technology"/>
    <s v="Laptops"/>
    <n v="5"/>
    <n v="1755.78"/>
    <n v="0.15"/>
    <n v="7462.04"/>
    <n v="780.61"/>
    <s v="Cash"/>
  </r>
  <r>
    <x v="7"/>
    <d v="2023-04-13T00:00:00"/>
    <x v="5"/>
    <s v="West"/>
    <s v="Office Supplies"/>
    <s v="Binders"/>
    <n v="7"/>
    <n v="1802.57"/>
    <n v="0"/>
    <n v="12618.01"/>
    <n v="1489.34"/>
    <s v="Credit Card"/>
  </r>
  <r>
    <x v="8"/>
    <d v="2023-05-02T00:00:00"/>
    <x v="0"/>
    <s v="North"/>
    <s v="Furniture"/>
    <s v="Bookcases"/>
    <n v="7"/>
    <n v="412.85"/>
    <n v="0.1"/>
    <n v="2600.9299999999998"/>
    <n v="401.46"/>
    <s v="UPI"/>
  </r>
  <r>
    <x v="9"/>
    <d v="2023-08-03T00:00:00"/>
    <x v="6"/>
    <s v="South"/>
    <s v="Technology"/>
    <s v="Printers"/>
    <n v="6"/>
    <n v="515.65"/>
    <n v="0"/>
    <n v="3093.91"/>
    <n v="467.05"/>
    <s v="Net Banking"/>
  </r>
  <r>
    <x v="10"/>
    <d v="2023-11-27T00:00:00"/>
    <x v="6"/>
    <s v="East"/>
    <s v="Technology"/>
    <s v="Printers"/>
    <n v="2"/>
    <n v="1453.31"/>
    <n v="0.2"/>
    <n v="2325.3000000000002"/>
    <n v="281.85000000000002"/>
    <s v="Credit Card"/>
  </r>
  <r>
    <x v="11"/>
    <d v="2023-03-29T00:00:00"/>
    <x v="3"/>
    <s v="North"/>
    <s v="Technology"/>
    <s v="Mobiles"/>
    <n v="6"/>
    <n v="162.80000000000001"/>
    <n v="0"/>
    <n v="976.78"/>
    <n v="203.74"/>
    <s v="Net Banking"/>
  </r>
  <r>
    <x v="12"/>
    <d v="2023-04-10T00:00:00"/>
    <x v="6"/>
    <s v="East"/>
    <s v="Technology"/>
    <s v="Mobiles"/>
    <n v="7"/>
    <n v="1377.06"/>
    <n v="0.1"/>
    <n v="8675.4599999999991"/>
    <n v="1235.5"/>
    <s v="Cash"/>
  </r>
  <r>
    <x v="13"/>
    <d v="2023-12-26T00:00:00"/>
    <x v="7"/>
    <s v="West"/>
    <s v="Furniture"/>
    <s v="Tables"/>
    <n v="6"/>
    <n v="857.77"/>
    <n v="0"/>
    <n v="5146.6000000000004"/>
    <n v="451.25"/>
    <s v="Credit Card"/>
  </r>
  <r>
    <x v="14"/>
    <d v="2023-06-01T00:00:00"/>
    <x v="4"/>
    <s v="West"/>
    <s v="Office Supplies"/>
    <s v="Pens"/>
    <n v="4"/>
    <n v="131.52000000000001"/>
    <n v="0.1"/>
    <n v="473.46"/>
    <n v="119.49"/>
    <s v="UPI"/>
  </r>
  <r>
    <x v="15"/>
    <d v="2023-05-11T00:00:00"/>
    <x v="5"/>
    <s v="North"/>
    <s v="Furniture"/>
    <s v="Chairs"/>
    <n v="8"/>
    <n v="834.8"/>
    <n v="0.05"/>
    <n v="6344.46"/>
    <n v="1645.93"/>
    <s v="Cash"/>
  </r>
  <r>
    <x v="16"/>
    <d v="2023-05-30T00:00:00"/>
    <x v="4"/>
    <s v="West"/>
    <s v="Office Supplies"/>
    <s v="Pens"/>
    <n v="3"/>
    <n v="534.25"/>
    <n v="0.05"/>
    <n v="1522.6"/>
    <n v="449.99"/>
    <s v="Credit Card"/>
  </r>
  <r>
    <x v="17"/>
    <d v="2023-11-05T00:00:00"/>
    <x v="5"/>
    <s v="East"/>
    <s v="Technology"/>
    <s v="Laptops"/>
    <n v="5"/>
    <n v="1810.79"/>
    <n v="0.1"/>
    <n v="8148.57"/>
    <n v="791.85"/>
    <s v="UPI"/>
  </r>
  <r>
    <x v="18"/>
    <d v="2023-09-15T00:00:00"/>
    <x v="8"/>
    <s v="West"/>
    <s v="Office Supplies"/>
    <s v="Binders"/>
    <n v="8"/>
    <n v="1786.76"/>
    <n v="0.15"/>
    <n v="12149.99"/>
    <n v="863.07"/>
    <s v="Cash"/>
  </r>
  <r>
    <x v="19"/>
    <d v="2023-12-10T00:00:00"/>
    <x v="3"/>
    <s v="South"/>
    <s v="Technology"/>
    <s v="Printers"/>
    <n v="9"/>
    <n v="1360.65"/>
    <n v="0.2"/>
    <n v="9796.7000000000007"/>
    <n v="1185.21"/>
    <s v="Cash"/>
  </r>
  <r>
    <x v="20"/>
    <d v="2023-10-21T00:00:00"/>
    <x v="0"/>
    <s v="West"/>
    <s v="Office Supplies"/>
    <s v="Paper"/>
    <n v="9"/>
    <n v="434.26"/>
    <n v="0.15"/>
    <n v="3322.07"/>
    <n v="363.14"/>
    <s v="Net Banking"/>
  </r>
  <r>
    <x v="21"/>
    <d v="2023-07-11T00:00:00"/>
    <x v="7"/>
    <s v="East"/>
    <s v="Office Supplies"/>
    <s v="Pens"/>
    <n v="1"/>
    <n v="685.32"/>
    <n v="0.15"/>
    <n v="582.52"/>
    <n v="103.22"/>
    <s v="Cash"/>
  </r>
  <r>
    <x v="22"/>
    <d v="2023-10-04T00:00:00"/>
    <x v="3"/>
    <s v="North"/>
    <s v="Technology"/>
    <s v="Mobiles"/>
    <n v="6"/>
    <n v="1959.9"/>
    <n v="0.1"/>
    <n v="10583.44"/>
    <n v="2889.4"/>
    <s v="Cash"/>
  </r>
  <r>
    <x v="23"/>
    <d v="2023-06-10T00:00:00"/>
    <x v="4"/>
    <s v="East"/>
    <s v="Furniture"/>
    <s v="Bookcases"/>
    <n v="1"/>
    <n v="470.96"/>
    <n v="0.2"/>
    <n v="376.77"/>
    <n v="65.86"/>
    <s v="Net Banking"/>
  </r>
  <r>
    <x v="24"/>
    <d v="2023-11-10T00:00:00"/>
    <x v="8"/>
    <s v="North"/>
    <s v="Furniture"/>
    <s v="Chairs"/>
    <n v="5"/>
    <n v="1778.64"/>
    <n v="0.15"/>
    <n v="7559.21"/>
    <n v="407.17"/>
    <s v="Credit Card"/>
  </r>
  <r>
    <x v="25"/>
    <d v="2023-01-22T00:00:00"/>
    <x v="0"/>
    <s v="West"/>
    <s v="Technology"/>
    <s v="Laptops"/>
    <n v="3"/>
    <n v="1962.63"/>
    <n v="0.15"/>
    <n v="5004.71"/>
    <n v="618.64"/>
    <s v="UPI"/>
  </r>
  <r>
    <x v="26"/>
    <d v="2023-09-10T00:00:00"/>
    <x v="8"/>
    <s v="South"/>
    <s v="Furniture"/>
    <s v="Bookcases"/>
    <n v="2"/>
    <n v="1157.92"/>
    <n v="0.05"/>
    <n v="2200.0500000000002"/>
    <n v="621.52"/>
    <s v="Net Banking"/>
  </r>
  <r>
    <x v="27"/>
    <d v="2023-08-24T00:00:00"/>
    <x v="2"/>
    <s v="North"/>
    <s v="Office Supplies"/>
    <s v="Binders"/>
    <n v="7"/>
    <n v="366.16"/>
    <n v="0.1"/>
    <n v="2306.81"/>
    <n v="285.63"/>
    <s v="Net Banking"/>
  </r>
  <r>
    <x v="28"/>
    <d v="2023-12-11T00:00:00"/>
    <x v="2"/>
    <s v="East"/>
    <s v="Furniture"/>
    <s v="Chairs"/>
    <n v="6"/>
    <n v="783.03"/>
    <n v="0.2"/>
    <n v="3758.56"/>
    <n v="466.54"/>
    <s v="Cash"/>
  </r>
  <r>
    <x v="29"/>
    <d v="2023-02-18T00:00:00"/>
    <x v="8"/>
    <s v="West"/>
    <s v="Furniture"/>
    <s v="Chairs"/>
    <n v="7"/>
    <n v="1052.8800000000001"/>
    <n v="0.2"/>
    <n v="5896.13"/>
    <n v="581.16999999999996"/>
    <s v="Cash"/>
  </r>
  <r>
    <x v="30"/>
    <d v="2023-02-28T00:00:00"/>
    <x v="1"/>
    <s v="East"/>
    <s v="Technology"/>
    <s v="Printers"/>
    <n v="7"/>
    <n v="152.47"/>
    <n v="0.05"/>
    <n v="1013.94"/>
    <n v="74.52"/>
    <s v="Cash"/>
  </r>
  <r>
    <x v="31"/>
    <d v="2023-06-19T00:00:00"/>
    <x v="7"/>
    <s v="East"/>
    <s v="Office Supplies"/>
    <s v="Paper"/>
    <n v="6"/>
    <n v="1222.58"/>
    <n v="0"/>
    <n v="7335.5"/>
    <n v="435.27"/>
    <s v="Cash"/>
  </r>
  <r>
    <x v="32"/>
    <d v="2023-07-07T00:00:00"/>
    <x v="0"/>
    <s v="East"/>
    <s v="Office Supplies"/>
    <s v="Paper"/>
    <n v="1"/>
    <n v="1672.95"/>
    <n v="0.15"/>
    <n v="1422.01"/>
    <n v="147.83000000000001"/>
    <s v="Net Banking"/>
  </r>
  <r>
    <x v="33"/>
    <d v="2023-09-28T00:00:00"/>
    <x v="4"/>
    <s v="West"/>
    <s v="Technology"/>
    <s v="Laptops"/>
    <n v="4"/>
    <n v="881.57"/>
    <n v="0.1"/>
    <n v="3173.66"/>
    <n v="664.43"/>
    <s v="Credit Card"/>
  </r>
  <r>
    <x v="34"/>
    <d v="2023-07-09T00:00:00"/>
    <x v="1"/>
    <s v="South"/>
    <s v="Technology"/>
    <s v="Mobiles"/>
    <n v="3"/>
    <n v="1610.85"/>
    <n v="0.1"/>
    <n v="4349.3100000000004"/>
    <n v="694.77"/>
    <s v="Credit Card"/>
  </r>
  <r>
    <x v="35"/>
    <d v="2023-06-24T00:00:00"/>
    <x v="2"/>
    <s v="South"/>
    <s v="Technology"/>
    <s v="Laptops"/>
    <n v="7"/>
    <n v="913.8"/>
    <n v="0.15"/>
    <n v="5437.1"/>
    <n v="827.73"/>
    <s v="Credit Card"/>
  </r>
  <r>
    <x v="36"/>
    <d v="2023-02-20T00:00:00"/>
    <x v="1"/>
    <s v="West"/>
    <s v="Office Supplies"/>
    <s v="Binders"/>
    <n v="6"/>
    <n v="1457.73"/>
    <n v="0.2"/>
    <n v="6997.11"/>
    <n v="839.54"/>
    <s v="UPI"/>
  </r>
  <r>
    <x v="37"/>
    <d v="2023-12-30T00:00:00"/>
    <x v="0"/>
    <s v="South"/>
    <s v="Furniture"/>
    <s v="Tables"/>
    <n v="7"/>
    <n v="190.66"/>
    <n v="0.05"/>
    <n v="1267.8900000000001"/>
    <n v="176.23"/>
    <s v="Credit Card"/>
  </r>
  <r>
    <x v="38"/>
    <d v="2023-02-24T00:00:00"/>
    <x v="2"/>
    <s v="South"/>
    <s v="Furniture"/>
    <s v="Tables"/>
    <n v="5"/>
    <n v="278.89999999999998"/>
    <n v="0.15"/>
    <n v="1185.32"/>
    <n v="111.22"/>
    <s v="Net Banking"/>
  </r>
  <r>
    <x v="39"/>
    <d v="2023-09-01T00:00:00"/>
    <x v="2"/>
    <s v="South"/>
    <s v="Furniture"/>
    <s v="Bookcases"/>
    <n v="4"/>
    <n v="429.08"/>
    <n v="0.2"/>
    <n v="1373.07"/>
    <n v="205.45"/>
    <s v="Credit Card"/>
  </r>
  <r>
    <x v="40"/>
    <d v="2023-11-16T00:00:00"/>
    <x v="4"/>
    <s v="West"/>
    <s v="Technology"/>
    <s v="Printers"/>
    <n v="3"/>
    <n v="1055.96"/>
    <n v="0"/>
    <n v="3167.88"/>
    <n v="585.55999999999995"/>
    <s v="Net Banking"/>
  </r>
  <r>
    <x v="41"/>
    <d v="2023-05-11T00:00:00"/>
    <x v="3"/>
    <s v="East"/>
    <s v="Office Supplies"/>
    <s v="Binders"/>
    <n v="1"/>
    <n v="1747.68"/>
    <n v="0.1"/>
    <n v="1572.91"/>
    <n v="393.6"/>
    <s v="Net Banking"/>
  </r>
  <r>
    <x v="42"/>
    <d v="2023-11-03T00:00:00"/>
    <x v="6"/>
    <s v="West"/>
    <s v="Furniture"/>
    <s v="Chairs"/>
    <n v="3"/>
    <n v="1659.22"/>
    <n v="0.15"/>
    <n v="4231"/>
    <n v="619.95000000000005"/>
    <s v="Cash"/>
  </r>
  <r>
    <x v="43"/>
    <d v="2023-05-15T00:00:00"/>
    <x v="6"/>
    <s v="South"/>
    <s v="Office Supplies"/>
    <s v="Paper"/>
    <n v="2"/>
    <n v="174.03"/>
    <n v="0.05"/>
    <n v="330.66"/>
    <n v="72.989999999999995"/>
    <s v="Net Banking"/>
  </r>
  <r>
    <x v="44"/>
    <d v="2023-01-21T00:00:00"/>
    <x v="3"/>
    <s v="North"/>
    <s v="Furniture"/>
    <s v="Tables"/>
    <n v="2"/>
    <n v="595.32000000000005"/>
    <n v="0.15"/>
    <n v="1012.04"/>
    <n v="225.91"/>
    <s v="UPI"/>
  </r>
  <r>
    <x v="45"/>
    <d v="2023-11-25T00:00:00"/>
    <x v="5"/>
    <s v="West"/>
    <s v="Furniture"/>
    <s v="Chairs"/>
    <n v="5"/>
    <n v="1938.4"/>
    <n v="0.15"/>
    <n v="8238.2099999999991"/>
    <n v="777.36"/>
    <s v="Net Banking"/>
  </r>
  <r>
    <x v="46"/>
    <d v="2023-06-16T00:00:00"/>
    <x v="8"/>
    <s v="East"/>
    <s v="Office Supplies"/>
    <s v="Paper"/>
    <n v="3"/>
    <n v="883.97"/>
    <n v="0.05"/>
    <n v="2519.3200000000002"/>
    <n v="283.43"/>
    <s v="Cash"/>
  </r>
  <r>
    <x v="47"/>
    <d v="2023-10-01T00:00:00"/>
    <x v="6"/>
    <s v="North"/>
    <s v="Furniture"/>
    <s v="Chairs"/>
    <n v="7"/>
    <n v="1526.66"/>
    <n v="0"/>
    <n v="10686.59"/>
    <n v="1170.81"/>
    <s v="Cash"/>
  </r>
  <r>
    <x v="48"/>
    <d v="2023-03-30T00:00:00"/>
    <x v="9"/>
    <s v="West"/>
    <s v="Furniture"/>
    <s v="Tables"/>
    <n v="3"/>
    <n v="839.48"/>
    <n v="0.15"/>
    <n v="2140.6799999999998"/>
    <n v="620.02"/>
    <s v="Credit Card"/>
  </r>
  <r>
    <x v="49"/>
    <d v="2023-11-12T00:00:00"/>
    <x v="5"/>
    <s v="West"/>
    <s v="Office Supplies"/>
    <s v="Binders"/>
    <n v="4"/>
    <n v="1189.53"/>
    <n v="0.2"/>
    <n v="3806.5"/>
    <n v="277.58999999999997"/>
    <s v="UPI"/>
  </r>
  <r>
    <x v="50"/>
    <d v="2023-01-14T00:00:00"/>
    <x v="2"/>
    <s v="East"/>
    <s v="Furniture"/>
    <s v="Chairs"/>
    <n v="7"/>
    <n v="1584.46"/>
    <n v="0.2"/>
    <n v="8872.99"/>
    <n v="2508.6799999999998"/>
    <s v="Cash"/>
  </r>
  <r>
    <x v="51"/>
    <d v="2023-08-30T00:00:00"/>
    <x v="3"/>
    <s v="East"/>
    <s v="Office Supplies"/>
    <s v="Binders"/>
    <n v="5"/>
    <n v="1500.37"/>
    <n v="0.2"/>
    <n v="6001.47"/>
    <n v="826.58"/>
    <s v="Net Banking"/>
  </r>
  <r>
    <x v="52"/>
    <d v="2023-09-22T00:00:00"/>
    <x v="5"/>
    <s v="South"/>
    <s v="Furniture"/>
    <s v="Tables"/>
    <n v="1"/>
    <n v="292.13"/>
    <n v="0.2"/>
    <n v="233.71"/>
    <n v="24.69"/>
    <s v="UPI"/>
  </r>
  <r>
    <x v="53"/>
    <d v="2023-12-12T00:00:00"/>
    <x v="6"/>
    <s v="South"/>
    <s v="Technology"/>
    <s v="Mobiles"/>
    <n v="5"/>
    <n v="1075.32"/>
    <n v="0.1"/>
    <n v="4838.9399999999996"/>
    <n v="945.17"/>
    <s v="Net Banking"/>
  </r>
  <r>
    <x v="54"/>
    <d v="2023-02-22T00:00:00"/>
    <x v="9"/>
    <s v="North"/>
    <s v="Furniture"/>
    <s v="Bookcases"/>
    <n v="7"/>
    <n v="1973.4"/>
    <n v="0.15"/>
    <n v="11741.74"/>
    <n v="1615.13"/>
    <s v="Net Banking"/>
  </r>
  <r>
    <x v="55"/>
    <d v="2023-12-06T00:00:00"/>
    <x v="3"/>
    <s v="West"/>
    <s v="Technology"/>
    <s v="Printers"/>
    <n v="3"/>
    <n v="311.27999999999997"/>
    <n v="0.1"/>
    <n v="840.44"/>
    <n v="95.32"/>
    <s v="Cash"/>
  </r>
  <r>
    <x v="56"/>
    <d v="2023-04-02T00:00:00"/>
    <x v="5"/>
    <s v="East"/>
    <s v="Technology"/>
    <s v="Laptops"/>
    <n v="9"/>
    <n v="1514"/>
    <n v="0.1"/>
    <n v="12263.42"/>
    <n v="2401.69"/>
    <s v="Net Banking"/>
  </r>
  <r>
    <x v="57"/>
    <d v="2023-09-21T00:00:00"/>
    <x v="0"/>
    <s v="West"/>
    <s v="Furniture"/>
    <s v="Chairs"/>
    <n v="8"/>
    <n v="1103.9000000000001"/>
    <n v="0.2"/>
    <n v="7064.98"/>
    <n v="2054.54"/>
    <s v="Cash"/>
  </r>
  <r>
    <x v="58"/>
    <d v="2023-02-04T00:00:00"/>
    <x v="3"/>
    <s v="East"/>
    <s v="Furniture"/>
    <s v="Bookcases"/>
    <n v="5"/>
    <n v="580.67999999999995"/>
    <n v="0.1"/>
    <n v="2613.0700000000002"/>
    <n v="763.87"/>
    <s v="Credit Card"/>
  </r>
  <r>
    <x v="59"/>
    <d v="2023-07-25T00:00:00"/>
    <x v="5"/>
    <s v="East"/>
    <s v="Furniture"/>
    <s v="Tables"/>
    <n v="1"/>
    <n v="1292.3599999999999"/>
    <n v="0.1"/>
    <n v="1163.1199999999999"/>
    <n v="320.2"/>
    <s v="Net Banking"/>
  </r>
  <r>
    <x v="60"/>
    <d v="2023-03-22T00:00:00"/>
    <x v="2"/>
    <s v="West"/>
    <s v="Technology"/>
    <s v="Mobiles"/>
    <n v="8"/>
    <n v="1278.25"/>
    <n v="0.05"/>
    <n v="9714.7099999999991"/>
    <n v="942.62"/>
    <s v="Cash"/>
  </r>
  <r>
    <x v="61"/>
    <d v="2023-02-19T00:00:00"/>
    <x v="6"/>
    <s v="North"/>
    <s v="Technology"/>
    <s v="Laptops"/>
    <n v="9"/>
    <n v="593.9"/>
    <n v="0.1"/>
    <n v="4810.63"/>
    <n v="1080.18"/>
    <s v="Credit Card"/>
  </r>
  <r>
    <x v="62"/>
    <d v="2023-12-26T00:00:00"/>
    <x v="0"/>
    <s v="East"/>
    <s v="Furniture"/>
    <s v="Chairs"/>
    <n v="3"/>
    <n v="1662.82"/>
    <n v="0.05"/>
    <n v="4739.04"/>
    <n v="730.57"/>
    <s v="Credit Card"/>
  </r>
  <r>
    <x v="63"/>
    <d v="2023-01-02T00:00:00"/>
    <x v="1"/>
    <s v="West"/>
    <s v="Technology"/>
    <s v="Mobiles"/>
    <n v="8"/>
    <n v="1765.66"/>
    <n v="0.1"/>
    <n v="12712.73"/>
    <n v="779.35"/>
    <s v="Credit Card"/>
  </r>
  <r>
    <x v="64"/>
    <d v="2023-02-23T00:00:00"/>
    <x v="2"/>
    <s v="East"/>
    <s v="Technology"/>
    <s v="Laptops"/>
    <n v="2"/>
    <n v="1975.82"/>
    <n v="0"/>
    <n v="3951.65"/>
    <n v="569.77"/>
    <s v="Credit Card"/>
  </r>
  <r>
    <x v="65"/>
    <d v="2023-04-16T00:00:00"/>
    <x v="6"/>
    <s v="North"/>
    <s v="Technology"/>
    <s v="Printers"/>
    <n v="1"/>
    <n v="1692.82"/>
    <n v="0.05"/>
    <n v="1608.18"/>
    <n v="95.21"/>
    <s v="Net Banking"/>
  </r>
  <r>
    <x v="66"/>
    <d v="2023-09-17T00:00:00"/>
    <x v="0"/>
    <s v="East"/>
    <s v="Office Supplies"/>
    <s v="Binders"/>
    <n v="1"/>
    <n v="1115.26"/>
    <n v="0.2"/>
    <n v="892.21"/>
    <n v="266.91000000000003"/>
    <s v="Credit Card"/>
  </r>
  <r>
    <x v="67"/>
    <d v="2023-11-06T00:00:00"/>
    <x v="9"/>
    <s v="North"/>
    <s v="Furniture"/>
    <s v="Chairs"/>
    <n v="3"/>
    <n v="569.96"/>
    <n v="0"/>
    <n v="1709.88"/>
    <n v="140.71"/>
    <s v="Credit Card"/>
  </r>
  <r>
    <x v="68"/>
    <d v="2023-07-10T00:00:00"/>
    <x v="8"/>
    <s v="East"/>
    <s v="Technology"/>
    <s v="Laptops"/>
    <n v="1"/>
    <n v="1538.3"/>
    <n v="0.05"/>
    <n v="1461.38"/>
    <n v="203.92"/>
    <s v="Cash"/>
  </r>
  <r>
    <x v="69"/>
    <d v="2023-08-06T00:00:00"/>
    <x v="6"/>
    <s v="South"/>
    <s v="Technology"/>
    <s v="Mobiles"/>
    <n v="6"/>
    <n v="1567.4"/>
    <n v="0.1"/>
    <n v="8463.99"/>
    <n v="1074.45"/>
    <s v="Net Banking"/>
  </r>
  <r>
    <x v="70"/>
    <d v="2023-02-13T00:00:00"/>
    <x v="3"/>
    <s v="East"/>
    <s v="Furniture"/>
    <s v="Tables"/>
    <n v="9"/>
    <n v="1220.92"/>
    <n v="0.2"/>
    <n v="8790.6"/>
    <n v="1802.75"/>
    <s v="UPI"/>
  </r>
  <r>
    <x v="71"/>
    <d v="2023-06-11T00:00:00"/>
    <x v="9"/>
    <s v="East"/>
    <s v="Office Supplies"/>
    <s v="Binders"/>
    <n v="2"/>
    <n v="766.12"/>
    <n v="0.05"/>
    <n v="1455.62"/>
    <n v="304.45999999999998"/>
    <s v="Cash"/>
  </r>
  <r>
    <x v="72"/>
    <d v="2023-07-21T00:00:00"/>
    <x v="2"/>
    <s v="East"/>
    <s v="Furniture"/>
    <s v="Tables"/>
    <n v="1"/>
    <n v="1588.94"/>
    <n v="0.15"/>
    <n v="1350.6"/>
    <n v="168.14"/>
    <s v="Credit Card"/>
  </r>
  <r>
    <x v="73"/>
    <d v="2023-09-27T00:00:00"/>
    <x v="4"/>
    <s v="West"/>
    <s v="Furniture"/>
    <s v="Chairs"/>
    <n v="4"/>
    <n v="972.76"/>
    <n v="0"/>
    <n v="3891.04"/>
    <n v="673.26"/>
    <s v="Credit Card"/>
  </r>
  <r>
    <x v="74"/>
    <d v="2023-12-17T00:00:00"/>
    <x v="9"/>
    <s v="East"/>
    <s v="Technology"/>
    <s v="Mobiles"/>
    <n v="5"/>
    <n v="760.09"/>
    <n v="0.1"/>
    <n v="3420.38"/>
    <n v="666.68"/>
    <s v="Credit Card"/>
  </r>
  <r>
    <x v="75"/>
    <d v="2023-10-31T00:00:00"/>
    <x v="8"/>
    <s v="North"/>
    <s v="Office Supplies"/>
    <s v="Pens"/>
    <n v="6"/>
    <n v="1425.57"/>
    <n v="0.15"/>
    <n v="7270.4"/>
    <n v="694.11"/>
    <s v="UPI"/>
  </r>
  <r>
    <x v="76"/>
    <d v="2023-09-28T00:00:00"/>
    <x v="0"/>
    <s v="South"/>
    <s v="Office Supplies"/>
    <s v="Pens"/>
    <n v="2"/>
    <n v="1243.68"/>
    <n v="0.1"/>
    <n v="2238.62"/>
    <n v="134.80000000000001"/>
    <s v="Net Banking"/>
  </r>
  <r>
    <x v="77"/>
    <d v="2023-08-03T00:00:00"/>
    <x v="2"/>
    <s v="South"/>
    <s v="Technology"/>
    <s v="Laptops"/>
    <n v="6"/>
    <n v="268.52999999999997"/>
    <n v="0"/>
    <n v="1611.21"/>
    <n v="295.83"/>
    <s v="Cash"/>
  </r>
  <r>
    <x v="78"/>
    <d v="2023-09-09T00:00:00"/>
    <x v="8"/>
    <s v="South"/>
    <s v="Furniture"/>
    <s v="Tables"/>
    <n v="9"/>
    <n v="275.35000000000002"/>
    <n v="0"/>
    <n v="2478.17"/>
    <n v="550.02"/>
    <s v="UPI"/>
  </r>
  <r>
    <x v="79"/>
    <d v="2023-07-09T00:00:00"/>
    <x v="9"/>
    <s v="North"/>
    <s v="Office Supplies"/>
    <s v="Paper"/>
    <n v="1"/>
    <n v="626.07000000000005"/>
    <n v="0"/>
    <n v="626.07000000000005"/>
    <n v="44.53"/>
    <s v="Net Banking"/>
  </r>
  <r>
    <x v="80"/>
    <d v="2023-10-23T00:00:00"/>
    <x v="8"/>
    <s v="South"/>
    <s v="Office Supplies"/>
    <s v="Pens"/>
    <n v="8"/>
    <n v="1020.59"/>
    <n v="0.05"/>
    <n v="7756.51"/>
    <n v="1861.48"/>
    <s v="Credit Card"/>
  </r>
  <r>
    <x v="81"/>
    <d v="2023-08-01T00:00:00"/>
    <x v="3"/>
    <s v="South"/>
    <s v="Technology"/>
    <s v="Mobiles"/>
    <n v="8"/>
    <n v="352.92"/>
    <n v="0.1"/>
    <n v="2541.04"/>
    <n v="695.74"/>
    <s v="Cash"/>
  </r>
  <r>
    <x v="82"/>
    <d v="2023-07-27T00:00:00"/>
    <x v="5"/>
    <s v="North"/>
    <s v="Office Supplies"/>
    <s v="Pens"/>
    <n v="9"/>
    <n v="1501.07"/>
    <n v="0.15"/>
    <n v="11483.18"/>
    <n v="631.78"/>
    <s v="UPI"/>
  </r>
  <r>
    <x v="83"/>
    <d v="2023-08-25T00:00:00"/>
    <x v="2"/>
    <s v="East"/>
    <s v="Technology"/>
    <s v="Mobiles"/>
    <n v="9"/>
    <n v="1792"/>
    <n v="0.15"/>
    <n v="13708.81"/>
    <n v="2309.83"/>
    <s v="Credit Card"/>
  </r>
  <r>
    <x v="84"/>
    <d v="2023-12-04T00:00:00"/>
    <x v="8"/>
    <s v="North"/>
    <s v="Furniture"/>
    <s v="Tables"/>
    <n v="4"/>
    <n v="1120.5"/>
    <n v="0.05"/>
    <n v="4257.91"/>
    <n v="806.6"/>
    <s v="Net Banking"/>
  </r>
  <r>
    <x v="85"/>
    <d v="2023-02-22T00:00:00"/>
    <x v="3"/>
    <s v="East"/>
    <s v="Office Supplies"/>
    <s v="Binders"/>
    <n v="9"/>
    <n v="741.15"/>
    <n v="0.15"/>
    <n v="5669.79"/>
    <n v="1199.04"/>
    <s v="Net Banking"/>
  </r>
  <r>
    <x v="86"/>
    <d v="2023-10-07T00:00:00"/>
    <x v="0"/>
    <s v="South"/>
    <s v="Office Supplies"/>
    <s v="Paper"/>
    <n v="6"/>
    <n v="1250.97"/>
    <n v="0"/>
    <n v="7505.83"/>
    <n v="389.43"/>
    <s v="Cash"/>
  </r>
  <r>
    <x v="87"/>
    <d v="2023-08-05T00:00:00"/>
    <x v="8"/>
    <s v="North"/>
    <s v="Office Supplies"/>
    <s v="Binders"/>
    <n v="8"/>
    <n v="1803.85"/>
    <n v="0.1"/>
    <n v="12987.75"/>
    <n v="2352.44"/>
    <s v="Net Banking"/>
  </r>
  <r>
    <x v="88"/>
    <d v="2023-09-09T00:00:00"/>
    <x v="7"/>
    <s v="South"/>
    <s v="Office Supplies"/>
    <s v="Binders"/>
    <n v="2"/>
    <n v="1194.4000000000001"/>
    <n v="0.1"/>
    <n v="2149.91"/>
    <n v="572.69000000000005"/>
    <s v="Credit Card"/>
  </r>
  <r>
    <x v="89"/>
    <d v="2023-07-07T00:00:00"/>
    <x v="8"/>
    <s v="South"/>
    <s v="Technology"/>
    <s v="Mobiles"/>
    <n v="3"/>
    <n v="1659.64"/>
    <n v="0.05"/>
    <n v="4729.96"/>
    <n v="894.87"/>
    <s v="UPI"/>
  </r>
  <r>
    <x v="90"/>
    <d v="2023-02-10T00:00:00"/>
    <x v="6"/>
    <s v="West"/>
    <s v="Furniture"/>
    <s v="Chairs"/>
    <n v="6"/>
    <n v="1939.19"/>
    <n v="0.15"/>
    <n v="9889.86"/>
    <n v="1546.37"/>
    <s v="Credit Card"/>
  </r>
  <r>
    <x v="91"/>
    <d v="2023-06-06T00:00:00"/>
    <x v="9"/>
    <s v="North"/>
    <s v="Office Supplies"/>
    <s v="Paper"/>
    <n v="6"/>
    <n v="1204.3499999999999"/>
    <n v="0.1"/>
    <n v="6503.5"/>
    <n v="1840.51"/>
    <s v="Cash"/>
  </r>
  <r>
    <x v="92"/>
    <d v="2023-01-15T00:00:00"/>
    <x v="8"/>
    <s v="South"/>
    <s v="Technology"/>
    <s v="Mobiles"/>
    <n v="5"/>
    <n v="220.41"/>
    <n v="0.15"/>
    <n v="936.75"/>
    <n v="94.08"/>
    <s v="Net Banking"/>
  </r>
  <r>
    <x v="93"/>
    <d v="2023-10-28T00:00:00"/>
    <x v="8"/>
    <s v="South"/>
    <s v="Furniture"/>
    <s v="Bookcases"/>
    <n v="5"/>
    <n v="105.15"/>
    <n v="0"/>
    <n v="525.75"/>
    <n v="104.58"/>
    <s v="UPI"/>
  </r>
  <r>
    <x v="94"/>
    <d v="2023-03-06T00:00:00"/>
    <x v="0"/>
    <s v="West"/>
    <s v="Office Supplies"/>
    <s v="Binders"/>
    <n v="1"/>
    <n v="1716.38"/>
    <n v="0.15"/>
    <n v="1458.92"/>
    <n v="424.92"/>
    <s v="UPI"/>
  </r>
  <r>
    <x v="95"/>
    <d v="2023-12-11T00:00:00"/>
    <x v="8"/>
    <s v="East"/>
    <s v="Furniture"/>
    <s v="Tables"/>
    <n v="3"/>
    <n v="226.34"/>
    <n v="0.15"/>
    <n v="577.16999999999996"/>
    <n v="150.33000000000001"/>
    <s v="Credit Card"/>
  </r>
  <r>
    <x v="96"/>
    <d v="2023-11-23T00:00:00"/>
    <x v="2"/>
    <s v="South"/>
    <s v="Furniture"/>
    <s v="Tables"/>
    <n v="3"/>
    <n v="412.11"/>
    <n v="0.2"/>
    <n v="989.05"/>
    <n v="107.73"/>
    <s v="Net Banking"/>
  </r>
  <r>
    <x v="97"/>
    <d v="2023-01-09T00:00:00"/>
    <x v="6"/>
    <s v="East"/>
    <s v="Furniture"/>
    <s v="Chairs"/>
    <n v="9"/>
    <n v="1397.67"/>
    <n v="0.1"/>
    <n v="11321.09"/>
    <n v="2332.4299999999998"/>
    <s v="UPI"/>
  </r>
  <r>
    <x v="98"/>
    <d v="2023-12-10T00:00:00"/>
    <x v="8"/>
    <s v="West"/>
    <s v="Office Supplies"/>
    <s v="Paper"/>
    <n v="9"/>
    <n v="775.19"/>
    <n v="0.05"/>
    <n v="6627.86"/>
    <n v="1232.04"/>
    <s v="UPI"/>
  </r>
  <r>
    <x v="99"/>
    <d v="2023-05-09T00:00:00"/>
    <x v="4"/>
    <s v="East"/>
    <s v="Office Supplies"/>
    <s v="Pens"/>
    <n v="6"/>
    <n v="1885.68"/>
    <n v="0.1"/>
    <n v="10182.68"/>
    <n v="1361.69"/>
    <s v="UP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n v="47322.349999999991"/>
  </r>
  <r>
    <x v="1"/>
    <n v="62559.839999999997"/>
  </r>
  <r>
    <x v="2"/>
    <n v="19909.03"/>
  </r>
  <r>
    <x v="3"/>
    <n v="44310.17"/>
  </r>
  <r>
    <x v="4"/>
    <n v="22554.239999999998"/>
  </r>
  <r>
    <x v="5"/>
    <n v="24101.27"/>
  </r>
  <r>
    <x v="6"/>
    <n v="33977.269999999997"/>
  </r>
  <r>
    <x v="7"/>
    <n v="50714.99"/>
  </r>
  <r>
    <x v="8"/>
    <n v="42323.599999999991"/>
  </r>
  <r>
    <x v="9"/>
    <n v="47650.590000000004"/>
  </r>
  <r>
    <x v="10"/>
    <n v="40175.599999999999"/>
  </r>
  <r>
    <x v="11"/>
    <n v="55476.180000000008"/>
  </r>
  <r>
    <x v="12"/>
    <n v="491075.12999999995"/>
  </r>
  <r>
    <x v="13"/>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s v="Pens"/>
    <n v="3"/>
    <n v="1443.03"/>
    <n v="0.1"/>
    <n v="3896.18"/>
    <n v="964.48"/>
    <s v="UPI"/>
    <n v="200"/>
  </r>
  <r>
    <x v="1"/>
    <x v="1"/>
    <x v="1"/>
    <x v="1"/>
    <x v="1"/>
    <s v="Laptops"/>
    <n v="7"/>
    <n v="1715.07"/>
    <n v="0.15"/>
    <n v="10204.69"/>
    <n v="1354.41"/>
    <s v="Cash"/>
    <n v="250"/>
  </r>
  <r>
    <x v="2"/>
    <x v="2"/>
    <x v="0"/>
    <x v="1"/>
    <x v="2"/>
    <s v="Bookcases"/>
    <n v="8"/>
    <n v="621.97"/>
    <n v="0.1"/>
    <n v="4478.1899999999996"/>
    <n v="752.58"/>
    <s v="Cash"/>
    <n v="300"/>
  </r>
  <r>
    <x v="3"/>
    <x v="3"/>
    <x v="2"/>
    <x v="0"/>
    <x v="0"/>
    <s v="Paper"/>
    <n v="5"/>
    <n v="1166.43"/>
    <n v="0.1"/>
    <n v="5248.92"/>
    <n v="948.39"/>
    <s v="Net Banking"/>
    <n v="350"/>
  </r>
  <r>
    <x v="4"/>
    <x v="4"/>
    <x v="0"/>
    <x v="1"/>
    <x v="2"/>
    <s v="Bookcases"/>
    <n v="7"/>
    <n v="1003.2"/>
    <n v="0.2"/>
    <n v="5617.94"/>
    <n v="995.18"/>
    <s v="UPI"/>
    <n v="400"/>
  </r>
  <r>
    <x v="5"/>
    <x v="5"/>
    <x v="3"/>
    <x v="0"/>
    <x v="2"/>
    <s v="Bookcases"/>
    <n v="4"/>
    <n v="1891.42"/>
    <n v="0.1"/>
    <n v="6809.12"/>
    <n v="1523.17"/>
    <s v="Credit Card"/>
    <n v="450"/>
  </r>
  <r>
    <x v="6"/>
    <x v="6"/>
    <x v="4"/>
    <x v="0"/>
    <x v="1"/>
    <s v="Laptops"/>
    <n v="5"/>
    <n v="1755.78"/>
    <n v="0.15"/>
    <n v="7462.04"/>
    <n v="780.61"/>
    <s v="Cash"/>
    <n v="500"/>
  </r>
  <r>
    <x v="7"/>
    <x v="0"/>
    <x v="5"/>
    <x v="2"/>
    <x v="0"/>
    <s v="Binders"/>
    <n v="7"/>
    <n v="1802.57"/>
    <n v="0"/>
    <n v="12618.01"/>
    <n v="1489.34"/>
    <s v="Credit Card"/>
    <n v="550"/>
  </r>
  <r>
    <x v="8"/>
    <x v="7"/>
    <x v="0"/>
    <x v="3"/>
    <x v="2"/>
    <s v="Bookcases"/>
    <n v="7"/>
    <n v="412.85"/>
    <n v="0.1"/>
    <n v="2600.9299999999998"/>
    <n v="401.46"/>
    <s v="UPI"/>
    <n v="600"/>
  </r>
  <r>
    <x v="9"/>
    <x v="8"/>
    <x v="6"/>
    <x v="0"/>
    <x v="1"/>
    <s v="Printers"/>
    <n v="6"/>
    <n v="515.65"/>
    <n v="0"/>
    <n v="3093.91"/>
    <n v="467.05"/>
    <s v="Net Banking"/>
    <n v="650"/>
  </r>
  <r>
    <x v="10"/>
    <x v="9"/>
    <x v="6"/>
    <x v="1"/>
    <x v="1"/>
    <s v="Printers"/>
    <n v="2"/>
    <n v="1453.31"/>
    <n v="0.2"/>
    <n v="2325.3000000000002"/>
    <n v="281.85000000000002"/>
    <s v="Credit Card"/>
    <n v="700"/>
  </r>
  <r>
    <x v="11"/>
    <x v="10"/>
    <x v="3"/>
    <x v="3"/>
    <x v="1"/>
    <s v="Mobiles"/>
    <n v="6"/>
    <n v="162.80000000000001"/>
    <n v="0"/>
    <n v="976.78"/>
    <n v="203.74"/>
    <s v="Net Banking"/>
    <n v="750"/>
  </r>
  <r>
    <x v="12"/>
    <x v="11"/>
    <x v="6"/>
    <x v="1"/>
    <x v="1"/>
    <s v="Mobiles"/>
    <n v="7"/>
    <n v="1377.06"/>
    <n v="0.1"/>
    <n v="8675.4599999999991"/>
    <n v="1235.5"/>
    <s v="Cash"/>
    <n v="800"/>
  </r>
  <r>
    <x v="13"/>
    <x v="12"/>
    <x v="7"/>
    <x v="2"/>
    <x v="2"/>
    <s v="Tables"/>
    <n v="6"/>
    <n v="857.77"/>
    <n v="0"/>
    <n v="5146.6000000000004"/>
    <n v="451.25"/>
    <s v="Credit Card"/>
    <n v="850"/>
  </r>
  <r>
    <x v="14"/>
    <x v="13"/>
    <x v="4"/>
    <x v="2"/>
    <x v="0"/>
    <s v="Pens"/>
    <n v="4"/>
    <n v="131.52000000000001"/>
    <n v="0.1"/>
    <n v="473.46"/>
    <n v="119.49"/>
    <s v="UPI"/>
    <n v="900"/>
  </r>
  <r>
    <x v="15"/>
    <x v="14"/>
    <x v="5"/>
    <x v="3"/>
    <x v="2"/>
    <s v="Chairs"/>
    <n v="8"/>
    <n v="834.8"/>
    <n v="0.05"/>
    <n v="6344.46"/>
    <n v="1645.93"/>
    <s v="Cash"/>
    <n v="950"/>
  </r>
  <r>
    <x v="16"/>
    <x v="15"/>
    <x v="4"/>
    <x v="2"/>
    <x v="0"/>
    <s v="Pens"/>
    <n v="3"/>
    <n v="534.25"/>
    <n v="0.05"/>
    <n v="1522.6"/>
    <n v="449.99"/>
    <s v="Credit Card"/>
    <n v="1000"/>
  </r>
  <r>
    <x v="17"/>
    <x v="16"/>
    <x v="5"/>
    <x v="1"/>
    <x v="1"/>
    <s v="Laptops"/>
    <n v="5"/>
    <n v="1810.79"/>
    <n v="0.1"/>
    <n v="8148.57"/>
    <n v="791.85"/>
    <s v="UPI"/>
    <n v="1050"/>
  </r>
  <r>
    <x v="18"/>
    <x v="17"/>
    <x v="8"/>
    <x v="2"/>
    <x v="0"/>
    <s v="Binders"/>
    <n v="8"/>
    <n v="1786.76"/>
    <n v="0.15"/>
    <n v="12149.99"/>
    <n v="863.07"/>
    <s v="Cash"/>
    <n v="1100"/>
  </r>
  <r>
    <x v="19"/>
    <x v="18"/>
    <x v="3"/>
    <x v="0"/>
    <x v="1"/>
    <s v="Printers"/>
    <n v="9"/>
    <n v="1360.65"/>
    <n v="0.2"/>
    <n v="9796.7000000000007"/>
    <n v="1185.21"/>
    <s v="Cash"/>
    <n v="1150"/>
  </r>
  <r>
    <x v="20"/>
    <x v="19"/>
    <x v="0"/>
    <x v="2"/>
    <x v="0"/>
    <s v="Paper"/>
    <n v="9"/>
    <n v="434.26"/>
    <n v="0.15"/>
    <n v="3322.07"/>
    <n v="363.14"/>
    <s v="Net Banking"/>
    <n v="1200"/>
  </r>
  <r>
    <x v="21"/>
    <x v="20"/>
    <x v="7"/>
    <x v="1"/>
    <x v="0"/>
    <s v="Pens"/>
    <n v="1"/>
    <n v="685.32"/>
    <n v="0.15"/>
    <n v="582.52"/>
    <n v="103.22"/>
    <s v="Cash"/>
    <n v="1250"/>
  </r>
  <r>
    <x v="22"/>
    <x v="21"/>
    <x v="3"/>
    <x v="3"/>
    <x v="1"/>
    <s v="Mobiles"/>
    <n v="6"/>
    <n v="1959.9"/>
    <n v="0.1"/>
    <n v="10583.44"/>
    <n v="2889.4"/>
    <s v="Cash"/>
    <n v="1300"/>
  </r>
  <r>
    <x v="23"/>
    <x v="22"/>
    <x v="4"/>
    <x v="1"/>
    <x v="2"/>
    <s v="Bookcases"/>
    <n v="1"/>
    <n v="470.96"/>
    <n v="0.2"/>
    <n v="376.77"/>
    <n v="65.86"/>
    <s v="Net Banking"/>
    <n v="1350"/>
  </r>
  <r>
    <x v="24"/>
    <x v="23"/>
    <x v="8"/>
    <x v="3"/>
    <x v="2"/>
    <s v="Chairs"/>
    <n v="5"/>
    <n v="1778.64"/>
    <n v="0.15"/>
    <n v="7559.21"/>
    <n v="407.17"/>
    <s v="Credit Card"/>
    <n v="1400"/>
  </r>
  <r>
    <x v="25"/>
    <x v="24"/>
    <x v="0"/>
    <x v="2"/>
    <x v="1"/>
    <s v="Laptops"/>
    <n v="3"/>
    <n v="1962.63"/>
    <n v="0.15"/>
    <n v="5004.71"/>
    <n v="618.64"/>
    <s v="UPI"/>
    <n v="1450"/>
  </r>
  <r>
    <x v="26"/>
    <x v="25"/>
    <x v="8"/>
    <x v="0"/>
    <x v="2"/>
    <s v="Bookcases"/>
    <n v="2"/>
    <n v="1157.92"/>
    <n v="0.05"/>
    <n v="2200.0500000000002"/>
    <n v="621.52"/>
    <s v="Net Banking"/>
    <n v="1500"/>
  </r>
  <r>
    <x v="27"/>
    <x v="26"/>
    <x v="2"/>
    <x v="3"/>
    <x v="0"/>
    <s v="Binders"/>
    <n v="7"/>
    <n v="366.16"/>
    <n v="0.1"/>
    <n v="2306.81"/>
    <n v="285.63"/>
    <s v="Net Banking"/>
    <n v="1550"/>
  </r>
  <r>
    <x v="28"/>
    <x v="27"/>
    <x v="2"/>
    <x v="1"/>
    <x v="2"/>
    <s v="Chairs"/>
    <n v="6"/>
    <n v="783.03"/>
    <n v="0.2"/>
    <n v="3758.56"/>
    <n v="466.54"/>
    <s v="Cash"/>
    <n v="1600"/>
  </r>
  <r>
    <x v="29"/>
    <x v="28"/>
    <x v="8"/>
    <x v="2"/>
    <x v="2"/>
    <s v="Chairs"/>
    <n v="7"/>
    <n v="1052.8800000000001"/>
    <n v="0.2"/>
    <n v="5896.13"/>
    <n v="581.16999999999996"/>
    <s v="Cash"/>
    <n v="1650"/>
  </r>
  <r>
    <x v="30"/>
    <x v="29"/>
    <x v="1"/>
    <x v="1"/>
    <x v="1"/>
    <s v="Printers"/>
    <n v="7"/>
    <n v="152.47"/>
    <n v="0.05"/>
    <n v="1013.94"/>
    <n v="74.52"/>
    <s v="Cash"/>
    <n v="1700"/>
  </r>
  <r>
    <x v="31"/>
    <x v="30"/>
    <x v="7"/>
    <x v="1"/>
    <x v="0"/>
    <s v="Paper"/>
    <n v="6"/>
    <n v="1222.58"/>
    <n v="0"/>
    <n v="7335.5"/>
    <n v="435.27"/>
    <s v="Cash"/>
    <n v="1750"/>
  </r>
  <r>
    <x v="32"/>
    <x v="31"/>
    <x v="0"/>
    <x v="1"/>
    <x v="0"/>
    <s v="Paper"/>
    <n v="1"/>
    <n v="1672.95"/>
    <n v="0.15"/>
    <n v="1422.01"/>
    <n v="147.83000000000001"/>
    <s v="Net Banking"/>
    <n v="1800"/>
  </r>
  <r>
    <x v="33"/>
    <x v="2"/>
    <x v="4"/>
    <x v="2"/>
    <x v="1"/>
    <s v="Laptops"/>
    <n v="4"/>
    <n v="881.57"/>
    <n v="0.1"/>
    <n v="3173.66"/>
    <n v="664.43"/>
    <s v="Credit Card"/>
    <n v="1850"/>
  </r>
  <r>
    <x v="34"/>
    <x v="32"/>
    <x v="1"/>
    <x v="0"/>
    <x v="1"/>
    <s v="Mobiles"/>
    <n v="3"/>
    <n v="1610.85"/>
    <n v="0.1"/>
    <n v="4349.3100000000004"/>
    <n v="694.77"/>
    <s v="Credit Card"/>
    <n v="1900"/>
  </r>
  <r>
    <x v="35"/>
    <x v="33"/>
    <x v="2"/>
    <x v="0"/>
    <x v="1"/>
    <s v="Laptops"/>
    <n v="7"/>
    <n v="913.8"/>
    <n v="0.15"/>
    <n v="5437.1"/>
    <n v="827.73"/>
    <s v="Credit Card"/>
    <n v="1950"/>
  </r>
  <r>
    <x v="36"/>
    <x v="34"/>
    <x v="1"/>
    <x v="2"/>
    <x v="0"/>
    <s v="Binders"/>
    <n v="6"/>
    <n v="1457.73"/>
    <n v="0.2"/>
    <n v="6997.11"/>
    <n v="839.54"/>
    <s v="UPI"/>
    <n v="2000"/>
  </r>
  <r>
    <x v="37"/>
    <x v="35"/>
    <x v="0"/>
    <x v="0"/>
    <x v="2"/>
    <s v="Tables"/>
    <n v="7"/>
    <n v="190.66"/>
    <n v="0.05"/>
    <n v="1267.8900000000001"/>
    <n v="176.23"/>
    <s v="Credit Card"/>
    <n v="2050"/>
  </r>
  <r>
    <x v="38"/>
    <x v="36"/>
    <x v="2"/>
    <x v="0"/>
    <x v="2"/>
    <s v="Tables"/>
    <n v="5"/>
    <n v="278.89999999999998"/>
    <n v="0.15"/>
    <n v="1185.32"/>
    <n v="111.22"/>
    <s v="Net Banking"/>
    <n v="2100"/>
  </r>
  <r>
    <x v="39"/>
    <x v="37"/>
    <x v="2"/>
    <x v="0"/>
    <x v="2"/>
    <s v="Bookcases"/>
    <n v="4"/>
    <n v="429.08"/>
    <n v="0.2"/>
    <n v="1373.07"/>
    <n v="205.45"/>
    <s v="Credit Card"/>
    <n v="2150"/>
  </r>
  <r>
    <x v="40"/>
    <x v="38"/>
    <x v="4"/>
    <x v="2"/>
    <x v="1"/>
    <s v="Printers"/>
    <n v="3"/>
    <n v="1055.96"/>
    <n v="0"/>
    <n v="3167.88"/>
    <n v="585.55999999999995"/>
    <s v="Net Banking"/>
    <n v="2200"/>
  </r>
  <r>
    <x v="41"/>
    <x v="14"/>
    <x v="3"/>
    <x v="1"/>
    <x v="0"/>
    <s v="Binders"/>
    <n v="1"/>
    <n v="1747.68"/>
    <n v="0.1"/>
    <n v="1572.91"/>
    <n v="393.6"/>
    <s v="Net Banking"/>
    <n v="2250"/>
  </r>
  <r>
    <x v="42"/>
    <x v="39"/>
    <x v="6"/>
    <x v="2"/>
    <x v="2"/>
    <s v="Chairs"/>
    <n v="3"/>
    <n v="1659.22"/>
    <n v="0.15"/>
    <n v="4231"/>
    <n v="619.95000000000005"/>
    <s v="Cash"/>
    <n v="2300"/>
  </r>
  <r>
    <x v="43"/>
    <x v="40"/>
    <x v="6"/>
    <x v="0"/>
    <x v="0"/>
    <s v="Paper"/>
    <n v="2"/>
    <n v="174.03"/>
    <n v="0.05"/>
    <n v="330.66"/>
    <n v="72.989999999999995"/>
    <s v="Net Banking"/>
    <n v="2350"/>
  </r>
  <r>
    <x v="44"/>
    <x v="6"/>
    <x v="3"/>
    <x v="3"/>
    <x v="2"/>
    <s v="Tables"/>
    <n v="2"/>
    <n v="595.32000000000005"/>
    <n v="0.15"/>
    <n v="1012.04"/>
    <n v="225.91"/>
    <s v="UPI"/>
    <n v="2400"/>
  </r>
  <r>
    <x v="45"/>
    <x v="41"/>
    <x v="5"/>
    <x v="2"/>
    <x v="2"/>
    <s v="Chairs"/>
    <n v="5"/>
    <n v="1938.4"/>
    <n v="0.15"/>
    <n v="8238.2099999999991"/>
    <n v="777.36"/>
    <s v="Net Banking"/>
    <n v="2450"/>
  </r>
  <r>
    <x v="46"/>
    <x v="42"/>
    <x v="8"/>
    <x v="1"/>
    <x v="0"/>
    <s v="Paper"/>
    <n v="3"/>
    <n v="883.97"/>
    <n v="0.05"/>
    <n v="2519.3200000000002"/>
    <n v="283.43"/>
    <s v="Cash"/>
    <n v="2500"/>
  </r>
  <r>
    <x v="47"/>
    <x v="43"/>
    <x v="6"/>
    <x v="3"/>
    <x v="2"/>
    <s v="Chairs"/>
    <n v="7"/>
    <n v="1526.66"/>
    <n v="0"/>
    <n v="10686.59"/>
    <n v="1170.81"/>
    <s v="Cash"/>
    <n v="2550"/>
  </r>
  <r>
    <x v="48"/>
    <x v="44"/>
    <x v="9"/>
    <x v="2"/>
    <x v="2"/>
    <s v="Tables"/>
    <n v="3"/>
    <n v="839.48"/>
    <n v="0.15"/>
    <n v="2140.6799999999998"/>
    <n v="620.02"/>
    <s v="Credit Card"/>
    <n v="2600"/>
  </r>
  <r>
    <x v="49"/>
    <x v="45"/>
    <x v="5"/>
    <x v="2"/>
    <x v="0"/>
    <s v="Binders"/>
    <n v="4"/>
    <n v="1189.53"/>
    <n v="0.2"/>
    <n v="3806.5"/>
    <n v="277.58999999999997"/>
    <s v="UPI"/>
    <n v="2650"/>
  </r>
  <r>
    <x v="50"/>
    <x v="46"/>
    <x v="2"/>
    <x v="1"/>
    <x v="2"/>
    <s v="Chairs"/>
    <n v="7"/>
    <n v="1584.46"/>
    <n v="0.2"/>
    <n v="8872.99"/>
    <n v="2508.6799999999998"/>
    <s v="Cash"/>
    <n v="2700"/>
  </r>
  <r>
    <x v="51"/>
    <x v="47"/>
    <x v="3"/>
    <x v="1"/>
    <x v="0"/>
    <s v="Binders"/>
    <n v="5"/>
    <n v="1500.37"/>
    <n v="0.2"/>
    <n v="6001.47"/>
    <n v="826.58"/>
    <s v="Net Banking"/>
    <n v="2750"/>
  </r>
  <r>
    <x v="52"/>
    <x v="48"/>
    <x v="5"/>
    <x v="0"/>
    <x v="2"/>
    <s v="Tables"/>
    <n v="1"/>
    <n v="292.13"/>
    <n v="0.2"/>
    <n v="233.71"/>
    <n v="24.69"/>
    <s v="UPI"/>
    <n v="2800"/>
  </r>
  <r>
    <x v="53"/>
    <x v="49"/>
    <x v="6"/>
    <x v="0"/>
    <x v="1"/>
    <s v="Mobiles"/>
    <n v="5"/>
    <n v="1075.32"/>
    <n v="0.1"/>
    <n v="4838.9399999999996"/>
    <n v="945.17"/>
    <s v="Net Banking"/>
    <n v="2850"/>
  </r>
  <r>
    <x v="54"/>
    <x v="50"/>
    <x v="9"/>
    <x v="3"/>
    <x v="2"/>
    <s v="Bookcases"/>
    <n v="7"/>
    <n v="1973.4"/>
    <n v="0.15"/>
    <n v="11741.74"/>
    <n v="1615.13"/>
    <s v="Net Banking"/>
    <n v="2900"/>
  </r>
  <r>
    <x v="55"/>
    <x v="51"/>
    <x v="3"/>
    <x v="2"/>
    <x v="1"/>
    <s v="Printers"/>
    <n v="3"/>
    <n v="311.27999999999997"/>
    <n v="0.1"/>
    <n v="840.44"/>
    <n v="95.32"/>
    <s v="Cash"/>
    <n v="2950"/>
  </r>
  <r>
    <x v="56"/>
    <x v="52"/>
    <x v="5"/>
    <x v="1"/>
    <x v="1"/>
    <s v="Laptops"/>
    <n v="9"/>
    <n v="1514"/>
    <n v="0.1"/>
    <n v="12263.42"/>
    <n v="2401.69"/>
    <s v="Net Banking"/>
    <n v="3000"/>
  </r>
  <r>
    <x v="57"/>
    <x v="53"/>
    <x v="0"/>
    <x v="2"/>
    <x v="2"/>
    <s v="Chairs"/>
    <n v="8"/>
    <n v="1103.9000000000001"/>
    <n v="0.2"/>
    <n v="7064.98"/>
    <n v="2054.54"/>
    <s v="Cash"/>
    <n v="3050"/>
  </r>
  <r>
    <x v="58"/>
    <x v="54"/>
    <x v="3"/>
    <x v="1"/>
    <x v="2"/>
    <s v="Bookcases"/>
    <n v="5"/>
    <n v="580.67999999999995"/>
    <n v="0.1"/>
    <n v="2613.0700000000002"/>
    <n v="763.87"/>
    <s v="Credit Card"/>
    <n v="3100"/>
  </r>
  <r>
    <x v="59"/>
    <x v="55"/>
    <x v="5"/>
    <x v="1"/>
    <x v="2"/>
    <s v="Tables"/>
    <n v="1"/>
    <n v="1292.3599999999999"/>
    <n v="0.1"/>
    <n v="1163.1199999999999"/>
    <n v="320.2"/>
    <s v="Net Banking"/>
    <n v="3150"/>
  </r>
  <r>
    <x v="60"/>
    <x v="56"/>
    <x v="2"/>
    <x v="2"/>
    <x v="1"/>
    <s v="Mobiles"/>
    <n v="8"/>
    <n v="1278.25"/>
    <n v="0.05"/>
    <n v="9714.7099999999991"/>
    <n v="942.62"/>
    <s v="Cash"/>
    <n v="3200"/>
  </r>
  <r>
    <x v="61"/>
    <x v="57"/>
    <x v="6"/>
    <x v="3"/>
    <x v="1"/>
    <s v="Laptops"/>
    <n v="9"/>
    <n v="593.9"/>
    <n v="0.1"/>
    <n v="4810.63"/>
    <n v="1080.18"/>
    <s v="Credit Card"/>
    <n v="3250"/>
  </r>
  <r>
    <x v="62"/>
    <x v="12"/>
    <x v="0"/>
    <x v="1"/>
    <x v="2"/>
    <s v="Chairs"/>
    <n v="3"/>
    <n v="1662.82"/>
    <n v="0.05"/>
    <n v="4739.04"/>
    <n v="730.57"/>
    <s v="Credit Card"/>
    <n v="3300"/>
  </r>
  <r>
    <x v="63"/>
    <x v="58"/>
    <x v="1"/>
    <x v="2"/>
    <x v="1"/>
    <s v="Mobiles"/>
    <n v="8"/>
    <n v="1765.66"/>
    <n v="0.1"/>
    <n v="12712.73"/>
    <n v="779.35"/>
    <s v="Credit Card"/>
    <n v="3350"/>
  </r>
  <r>
    <x v="64"/>
    <x v="59"/>
    <x v="2"/>
    <x v="1"/>
    <x v="1"/>
    <s v="Laptops"/>
    <n v="2"/>
    <n v="1975.82"/>
    <n v="0"/>
    <n v="3951.65"/>
    <n v="569.77"/>
    <s v="Credit Card"/>
    <n v="3400"/>
  </r>
  <r>
    <x v="65"/>
    <x v="60"/>
    <x v="6"/>
    <x v="3"/>
    <x v="1"/>
    <s v="Printers"/>
    <n v="1"/>
    <n v="1692.82"/>
    <n v="0.05"/>
    <n v="1608.18"/>
    <n v="95.21"/>
    <s v="Net Banking"/>
    <n v="3450"/>
  </r>
  <r>
    <x v="66"/>
    <x v="61"/>
    <x v="0"/>
    <x v="1"/>
    <x v="0"/>
    <s v="Binders"/>
    <n v="1"/>
    <n v="1115.26"/>
    <n v="0.2"/>
    <n v="892.21"/>
    <n v="266.91000000000003"/>
    <s v="Credit Card"/>
    <n v="3500"/>
  </r>
  <r>
    <x v="67"/>
    <x v="62"/>
    <x v="9"/>
    <x v="3"/>
    <x v="2"/>
    <s v="Chairs"/>
    <n v="3"/>
    <n v="569.96"/>
    <n v="0"/>
    <n v="1709.88"/>
    <n v="140.71"/>
    <s v="Credit Card"/>
    <n v="3550"/>
  </r>
  <r>
    <x v="68"/>
    <x v="63"/>
    <x v="8"/>
    <x v="1"/>
    <x v="1"/>
    <s v="Laptops"/>
    <n v="1"/>
    <n v="1538.3"/>
    <n v="0.05"/>
    <n v="1461.38"/>
    <n v="203.92"/>
    <s v="Cash"/>
    <n v="3600"/>
  </r>
  <r>
    <x v="69"/>
    <x v="64"/>
    <x v="6"/>
    <x v="0"/>
    <x v="1"/>
    <s v="Mobiles"/>
    <n v="6"/>
    <n v="1567.4"/>
    <n v="0.1"/>
    <n v="8463.99"/>
    <n v="1074.45"/>
    <s v="Net Banking"/>
    <n v="3650"/>
  </r>
  <r>
    <x v="70"/>
    <x v="65"/>
    <x v="3"/>
    <x v="1"/>
    <x v="2"/>
    <s v="Tables"/>
    <n v="9"/>
    <n v="1220.92"/>
    <n v="0.2"/>
    <n v="8790.6"/>
    <n v="1802.75"/>
    <s v="UPI"/>
    <n v="3700"/>
  </r>
  <r>
    <x v="71"/>
    <x v="66"/>
    <x v="9"/>
    <x v="1"/>
    <x v="0"/>
    <s v="Binders"/>
    <n v="2"/>
    <n v="766.12"/>
    <n v="0.05"/>
    <n v="1455.62"/>
    <n v="304.45999999999998"/>
    <s v="Cash"/>
    <n v="3750"/>
  </r>
  <r>
    <x v="72"/>
    <x v="67"/>
    <x v="2"/>
    <x v="1"/>
    <x v="2"/>
    <s v="Tables"/>
    <n v="1"/>
    <n v="1588.94"/>
    <n v="0.15"/>
    <n v="1350.6"/>
    <n v="168.14"/>
    <s v="Credit Card"/>
    <n v="3800"/>
  </r>
  <r>
    <x v="73"/>
    <x v="68"/>
    <x v="4"/>
    <x v="2"/>
    <x v="2"/>
    <s v="Chairs"/>
    <n v="4"/>
    <n v="972.76"/>
    <n v="0"/>
    <n v="3891.04"/>
    <n v="673.26"/>
    <s v="Credit Card"/>
    <n v="3850"/>
  </r>
  <r>
    <x v="74"/>
    <x v="69"/>
    <x v="9"/>
    <x v="1"/>
    <x v="1"/>
    <s v="Mobiles"/>
    <n v="5"/>
    <n v="760.09"/>
    <n v="0.1"/>
    <n v="3420.38"/>
    <n v="666.68"/>
    <s v="Credit Card"/>
    <n v="3900"/>
  </r>
  <r>
    <x v="75"/>
    <x v="70"/>
    <x v="8"/>
    <x v="3"/>
    <x v="0"/>
    <s v="Pens"/>
    <n v="6"/>
    <n v="1425.57"/>
    <n v="0.15"/>
    <n v="7270.4"/>
    <n v="694.11"/>
    <s v="UPI"/>
    <n v="3950"/>
  </r>
  <r>
    <x v="76"/>
    <x v="2"/>
    <x v="0"/>
    <x v="0"/>
    <x v="0"/>
    <s v="Pens"/>
    <n v="2"/>
    <n v="1243.68"/>
    <n v="0.1"/>
    <n v="2238.62"/>
    <n v="134.80000000000001"/>
    <s v="Net Banking"/>
    <n v="4000"/>
  </r>
  <r>
    <x v="77"/>
    <x v="8"/>
    <x v="2"/>
    <x v="0"/>
    <x v="1"/>
    <s v="Laptops"/>
    <n v="6"/>
    <n v="268.52999999999997"/>
    <n v="0"/>
    <n v="1611.21"/>
    <n v="295.83"/>
    <s v="Cash"/>
    <n v="4050"/>
  </r>
  <r>
    <x v="78"/>
    <x v="71"/>
    <x v="8"/>
    <x v="0"/>
    <x v="2"/>
    <s v="Tables"/>
    <n v="9"/>
    <n v="275.35000000000002"/>
    <n v="0"/>
    <n v="2478.17"/>
    <n v="550.02"/>
    <s v="UPI"/>
    <n v="4100"/>
  </r>
  <r>
    <x v="79"/>
    <x v="32"/>
    <x v="9"/>
    <x v="3"/>
    <x v="0"/>
    <s v="Paper"/>
    <n v="1"/>
    <n v="626.07000000000005"/>
    <n v="0"/>
    <n v="626.07000000000005"/>
    <n v="44.53"/>
    <s v="Net Banking"/>
    <n v="4150"/>
  </r>
  <r>
    <x v="80"/>
    <x v="72"/>
    <x v="8"/>
    <x v="0"/>
    <x v="0"/>
    <s v="Pens"/>
    <n v="8"/>
    <n v="1020.59"/>
    <n v="0.05"/>
    <n v="7756.51"/>
    <n v="1861.48"/>
    <s v="Credit Card"/>
    <n v="4200"/>
  </r>
  <r>
    <x v="81"/>
    <x v="73"/>
    <x v="3"/>
    <x v="0"/>
    <x v="1"/>
    <s v="Mobiles"/>
    <n v="8"/>
    <n v="352.92"/>
    <n v="0.1"/>
    <n v="2541.04"/>
    <n v="695.74"/>
    <s v="Cash"/>
    <n v="4250"/>
  </r>
  <r>
    <x v="82"/>
    <x v="74"/>
    <x v="5"/>
    <x v="3"/>
    <x v="0"/>
    <s v="Pens"/>
    <n v="9"/>
    <n v="1501.07"/>
    <n v="0.15"/>
    <n v="11483.18"/>
    <n v="631.78"/>
    <s v="UPI"/>
    <n v="4300"/>
  </r>
  <r>
    <x v="83"/>
    <x v="75"/>
    <x v="2"/>
    <x v="1"/>
    <x v="1"/>
    <s v="Mobiles"/>
    <n v="9"/>
    <n v="1792"/>
    <n v="0.15"/>
    <n v="13708.81"/>
    <n v="2309.83"/>
    <s v="Credit Card"/>
    <n v="4350"/>
  </r>
  <r>
    <x v="84"/>
    <x v="76"/>
    <x v="8"/>
    <x v="3"/>
    <x v="2"/>
    <s v="Tables"/>
    <n v="4"/>
    <n v="1120.5"/>
    <n v="0.05"/>
    <n v="4257.91"/>
    <n v="806.6"/>
    <s v="Net Banking"/>
    <n v="4400"/>
  </r>
  <r>
    <x v="85"/>
    <x v="50"/>
    <x v="3"/>
    <x v="1"/>
    <x v="0"/>
    <s v="Binders"/>
    <n v="9"/>
    <n v="741.15"/>
    <n v="0.15"/>
    <n v="5669.79"/>
    <n v="1199.04"/>
    <s v="Net Banking"/>
    <n v="4450"/>
  </r>
  <r>
    <x v="86"/>
    <x v="77"/>
    <x v="0"/>
    <x v="0"/>
    <x v="0"/>
    <s v="Paper"/>
    <n v="6"/>
    <n v="1250.97"/>
    <n v="0"/>
    <n v="7505.83"/>
    <n v="389.43"/>
    <s v="Cash"/>
    <n v="4500"/>
  </r>
  <r>
    <x v="87"/>
    <x v="78"/>
    <x v="8"/>
    <x v="3"/>
    <x v="0"/>
    <s v="Binders"/>
    <n v="8"/>
    <n v="1803.85"/>
    <n v="0.1"/>
    <n v="12987.75"/>
    <n v="2352.44"/>
    <s v="Net Banking"/>
    <n v="4550"/>
  </r>
  <r>
    <x v="88"/>
    <x v="71"/>
    <x v="7"/>
    <x v="0"/>
    <x v="0"/>
    <s v="Binders"/>
    <n v="2"/>
    <n v="1194.4000000000001"/>
    <n v="0.1"/>
    <n v="2149.91"/>
    <n v="572.69000000000005"/>
    <s v="Credit Card"/>
    <n v="4600"/>
  </r>
  <r>
    <x v="89"/>
    <x v="31"/>
    <x v="8"/>
    <x v="0"/>
    <x v="1"/>
    <s v="Mobiles"/>
    <n v="3"/>
    <n v="1659.64"/>
    <n v="0.05"/>
    <n v="4729.96"/>
    <n v="894.87"/>
    <s v="UPI"/>
    <n v="4650"/>
  </r>
  <r>
    <x v="90"/>
    <x v="79"/>
    <x v="6"/>
    <x v="2"/>
    <x v="2"/>
    <s v="Chairs"/>
    <n v="6"/>
    <n v="1939.19"/>
    <n v="0.15"/>
    <n v="9889.86"/>
    <n v="1546.37"/>
    <s v="Credit Card"/>
    <n v="4700"/>
  </r>
  <r>
    <x v="91"/>
    <x v="80"/>
    <x v="9"/>
    <x v="3"/>
    <x v="0"/>
    <s v="Paper"/>
    <n v="6"/>
    <n v="1204.3499999999999"/>
    <n v="0.1"/>
    <n v="6503.5"/>
    <n v="1840.51"/>
    <s v="Cash"/>
    <n v="4750"/>
  </r>
  <r>
    <x v="92"/>
    <x v="81"/>
    <x v="8"/>
    <x v="0"/>
    <x v="1"/>
    <s v="Mobiles"/>
    <n v="5"/>
    <n v="220.41"/>
    <n v="0.15"/>
    <n v="936.75"/>
    <n v="94.08"/>
    <s v="Net Banking"/>
    <n v="4800"/>
  </r>
  <r>
    <x v="93"/>
    <x v="82"/>
    <x v="8"/>
    <x v="0"/>
    <x v="2"/>
    <s v="Bookcases"/>
    <n v="5"/>
    <n v="105.15"/>
    <n v="0"/>
    <n v="525.75"/>
    <n v="104.58"/>
    <s v="UPI"/>
    <n v="4850"/>
  </r>
  <r>
    <x v="94"/>
    <x v="83"/>
    <x v="0"/>
    <x v="2"/>
    <x v="0"/>
    <s v="Binders"/>
    <n v="1"/>
    <n v="1716.38"/>
    <n v="0.15"/>
    <n v="1458.92"/>
    <n v="424.92"/>
    <s v="UPI"/>
    <n v="4900"/>
  </r>
  <r>
    <x v="95"/>
    <x v="27"/>
    <x v="8"/>
    <x v="1"/>
    <x v="2"/>
    <s v="Tables"/>
    <n v="3"/>
    <n v="226.34"/>
    <n v="0.15"/>
    <n v="577.16999999999996"/>
    <n v="150.33000000000001"/>
    <s v="Credit Card"/>
    <n v="4950"/>
  </r>
  <r>
    <x v="96"/>
    <x v="84"/>
    <x v="2"/>
    <x v="0"/>
    <x v="2"/>
    <s v="Tables"/>
    <n v="3"/>
    <n v="412.11"/>
    <n v="0.2"/>
    <n v="989.05"/>
    <n v="107.73"/>
    <s v="Net Banking"/>
    <n v="5000"/>
  </r>
  <r>
    <x v="97"/>
    <x v="85"/>
    <x v="6"/>
    <x v="1"/>
    <x v="2"/>
    <s v="Chairs"/>
    <n v="9"/>
    <n v="1397.67"/>
    <n v="0.1"/>
    <n v="11321.09"/>
    <n v="2332.4299999999998"/>
    <s v="UPI"/>
    <n v="5050"/>
  </r>
  <r>
    <x v="98"/>
    <x v="18"/>
    <x v="8"/>
    <x v="2"/>
    <x v="0"/>
    <s v="Paper"/>
    <n v="9"/>
    <n v="775.19"/>
    <n v="0.05"/>
    <n v="6627.86"/>
    <n v="1232.04"/>
    <s v="UPI"/>
    <n v="5100"/>
  </r>
  <r>
    <x v="99"/>
    <x v="86"/>
    <x v="4"/>
    <x v="1"/>
    <x v="0"/>
    <s v="Pens"/>
    <n v="6"/>
    <n v="1885.68"/>
    <n v="0.1"/>
    <n v="10182.68"/>
    <n v="1361.69"/>
    <s v="UPI"/>
    <n v="51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CACF77-00D6-4C9E-891C-78FA82C82CF6}" name="PivotTable5" cacheId="7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N3:Q68" firstHeaderRow="1" firstDataRow="1" firstDataCol="3"/>
  <pivotFields count="15">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87">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s>
      <extLst>
        <ext xmlns:x14="http://schemas.microsoft.com/office/spreadsheetml/2009/9/main" uri="{2946ED86-A175-432a-8AC1-64E0C546D7DE}">
          <x14:pivotField fillDownLabels="1"/>
        </ext>
      </extLst>
    </pivotField>
    <pivotField axis="axisRow" compact="0" outline="0" showAll="0" defaultSubtotal="0">
      <items count="10">
        <item x="6"/>
        <item x="0"/>
        <item x="8"/>
        <item x="7"/>
        <item x="4"/>
        <item x="5"/>
        <item x="9"/>
        <item x="2"/>
        <item x="3"/>
        <item x="1"/>
      </items>
      <extLst>
        <ext xmlns:x14="http://schemas.microsoft.com/office/spreadsheetml/2009/9/main" uri="{2946ED86-A175-432a-8AC1-64E0C546D7DE}">
          <x14:pivotField fillDownLabels="1"/>
        </ext>
      </extLst>
    </pivotField>
    <pivotField axis="axisRow" compact="0" outline="0" showAll="0" defaultSubtotal="0">
      <items count="4">
        <item x="1"/>
        <item x="3"/>
        <item x="0"/>
        <item x="2"/>
      </items>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3">
    <field x="2"/>
    <field x="3"/>
    <field x="4"/>
  </rowFields>
  <rowItems count="65">
    <i>
      <x/>
      <x/>
      <x/>
    </i>
    <i r="2">
      <x v="2"/>
    </i>
    <i r="1">
      <x v="1"/>
      <x/>
    </i>
    <i r="2">
      <x v="2"/>
    </i>
    <i r="1">
      <x v="2"/>
      <x v="1"/>
    </i>
    <i r="2">
      <x v="2"/>
    </i>
    <i r="1">
      <x v="3"/>
      <x/>
    </i>
    <i>
      <x v="1"/>
      <x/>
      <x/>
    </i>
    <i r="2">
      <x v="1"/>
    </i>
    <i r="1">
      <x v="1"/>
      <x/>
    </i>
    <i r="1">
      <x v="2"/>
      <x/>
    </i>
    <i r="2">
      <x v="1"/>
    </i>
    <i r="1">
      <x v="3"/>
      <x/>
    </i>
    <i r="2">
      <x v="1"/>
    </i>
    <i r="2">
      <x v="2"/>
    </i>
    <i>
      <x v="2"/>
      <x/>
      <x/>
    </i>
    <i r="2">
      <x v="1"/>
    </i>
    <i r="2">
      <x v="2"/>
    </i>
    <i r="1">
      <x v="1"/>
      <x/>
    </i>
    <i r="2">
      <x v="1"/>
    </i>
    <i r="1">
      <x v="2"/>
      <x/>
    </i>
    <i r="2">
      <x v="1"/>
    </i>
    <i r="2">
      <x v="2"/>
    </i>
    <i r="1">
      <x v="3"/>
      <x/>
    </i>
    <i r="2">
      <x v="1"/>
    </i>
    <i>
      <x v="3"/>
      <x/>
      <x v="1"/>
    </i>
    <i r="1">
      <x v="2"/>
      <x v="1"/>
    </i>
    <i r="1">
      <x v="3"/>
      <x/>
    </i>
    <i>
      <x v="4"/>
      <x/>
      <x/>
    </i>
    <i r="2">
      <x v="1"/>
    </i>
    <i r="1">
      <x v="2"/>
      <x v="2"/>
    </i>
    <i r="1">
      <x v="3"/>
      <x/>
    </i>
    <i r="2">
      <x v="1"/>
    </i>
    <i r="2">
      <x v="2"/>
    </i>
    <i>
      <x v="5"/>
      <x/>
      <x/>
    </i>
    <i r="2">
      <x v="2"/>
    </i>
    <i r="1">
      <x v="1"/>
      <x/>
    </i>
    <i r="2">
      <x v="1"/>
    </i>
    <i r="1">
      <x v="2"/>
      <x/>
    </i>
    <i r="1">
      <x v="3"/>
      <x/>
    </i>
    <i r="2">
      <x v="1"/>
    </i>
    <i>
      <x v="6"/>
      <x/>
      <x v="1"/>
    </i>
    <i r="2">
      <x v="2"/>
    </i>
    <i r="1">
      <x v="1"/>
      <x/>
    </i>
    <i r="2">
      <x v="1"/>
    </i>
    <i r="1">
      <x v="3"/>
      <x/>
    </i>
    <i>
      <x v="7"/>
      <x/>
      <x/>
    </i>
    <i r="2">
      <x v="2"/>
    </i>
    <i r="1">
      <x v="1"/>
      <x v="1"/>
    </i>
    <i r="1">
      <x v="2"/>
      <x/>
    </i>
    <i r="2">
      <x v="1"/>
    </i>
    <i r="2">
      <x v="2"/>
    </i>
    <i r="1">
      <x v="3"/>
      <x v="2"/>
    </i>
    <i>
      <x v="8"/>
      <x/>
      <x/>
    </i>
    <i r="2">
      <x v="1"/>
    </i>
    <i r="1">
      <x v="1"/>
      <x/>
    </i>
    <i r="2">
      <x v="2"/>
    </i>
    <i r="1">
      <x v="2"/>
      <x/>
    </i>
    <i r="2">
      <x v="2"/>
    </i>
    <i r="1">
      <x v="3"/>
      <x v="2"/>
    </i>
    <i>
      <x v="9"/>
      <x/>
      <x v="2"/>
    </i>
    <i r="1">
      <x v="2"/>
      <x v="2"/>
    </i>
    <i r="1">
      <x v="3"/>
      <x v="1"/>
    </i>
    <i r="2">
      <x v="2"/>
    </i>
    <i t="grand">
      <x/>
    </i>
  </rowItems>
  <colItems count="1">
    <i/>
  </colItems>
  <dataFields count="1">
    <dataField name="Sum of Total Sales" fld="9" baseField="0" baseItem="0"/>
  </dataFields>
  <formats count="54">
    <format dxfId="215">
      <pivotArea type="all" dataOnly="0" outline="0" fieldPosition="0"/>
    </format>
    <format dxfId="214">
      <pivotArea outline="0" collapsedLevelsAreSubtotals="1" fieldPosition="0"/>
    </format>
    <format dxfId="213">
      <pivotArea field="2" type="button" dataOnly="0" labelOnly="1" outline="0" axis="axisRow" fieldPosition="0"/>
    </format>
    <format dxfId="212">
      <pivotArea field="3" type="button" dataOnly="0" labelOnly="1" outline="0" axis="axisRow" fieldPosition="1"/>
    </format>
    <format dxfId="211">
      <pivotArea field="4" type="button" dataOnly="0" labelOnly="1" outline="0" axis="axisRow" fieldPosition="2"/>
    </format>
    <format dxfId="210">
      <pivotArea dataOnly="0" labelOnly="1" outline="0" fieldPosition="0">
        <references count="1">
          <reference field="2" count="0"/>
        </references>
      </pivotArea>
    </format>
    <format dxfId="209">
      <pivotArea dataOnly="0" labelOnly="1" grandRow="1" outline="0" fieldPosition="0"/>
    </format>
    <format dxfId="208">
      <pivotArea dataOnly="0" labelOnly="1" outline="0" fieldPosition="0">
        <references count="2">
          <reference field="2" count="1" selected="0">
            <x v="0"/>
          </reference>
          <reference field="3" count="0"/>
        </references>
      </pivotArea>
    </format>
    <format dxfId="207">
      <pivotArea dataOnly="0" labelOnly="1" outline="0" fieldPosition="0">
        <references count="2">
          <reference field="2" count="1" selected="0">
            <x v="1"/>
          </reference>
          <reference field="3" count="0"/>
        </references>
      </pivotArea>
    </format>
    <format dxfId="206">
      <pivotArea dataOnly="0" labelOnly="1" outline="0" fieldPosition="0">
        <references count="2">
          <reference field="2" count="1" selected="0">
            <x v="2"/>
          </reference>
          <reference field="3" count="0"/>
        </references>
      </pivotArea>
    </format>
    <format dxfId="205">
      <pivotArea dataOnly="0" labelOnly="1" outline="0" fieldPosition="0">
        <references count="2">
          <reference field="2" count="1" selected="0">
            <x v="3"/>
          </reference>
          <reference field="3" count="3">
            <x v="0"/>
            <x v="2"/>
            <x v="3"/>
          </reference>
        </references>
      </pivotArea>
    </format>
    <format dxfId="204">
      <pivotArea dataOnly="0" labelOnly="1" outline="0" fieldPosition="0">
        <references count="2">
          <reference field="2" count="1" selected="0">
            <x v="4"/>
          </reference>
          <reference field="3" count="3">
            <x v="0"/>
            <x v="2"/>
            <x v="3"/>
          </reference>
        </references>
      </pivotArea>
    </format>
    <format dxfId="203">
      <pivotArea dataOnly="0" labelOnly="1" outline="0" fieldPosition="0">
        <references count="2">
          <reference field="2" count="1" selected="0">
            <x v="5"/>
          </reference>
          <reference field="3" count="0"/>
        </references>
      </pivotArea>
    </format>
    <format dxfId="202">
      <pivotArea dataOnly="0" labelOnly="1" outline="0" fieldPosition="0">
        <references count="2">
          <reference field="2" count="1" selected="0">
            <x v="6"/>
          </reference>
          <reference field="3" count="3">
            <x v="0"/>
            <x v="1"/>
            <x v="3"/>
          </reference>
        </references>
      </pivotArea>
    </format>
    <format dxfId="201">
      <pivotArea dataOnly="0" labelOnly="1" outline="0" fieldPosition="0">
        <references count="2">
          <reference field="2" count="1" selected="0">
            <x v="7"/>
          </reference>
          <reference field="3" count="0"/>
        </references>
      </pivotArea>
    </format>
    <format dxfId="200">
      <pivotArea dataOnly="0" labelOnly="1" outline="0" fieldPosition="0">
        <references count="2">
          <reference field="2" count="1" selected="0">
            <x v="8"/>
          </reference>
          <reference field="3" count="0"/>
        </references>
      </pivotArea>
    </format>
    <format dxfId="199">
      <pivotArea dataOnly="0" labelOnly="1" outline="0" fieldPosition="0">
        <references count="2">
          <reference field="2" count="1" selected="0">
            <x v="9"/>
          </reference>
          <reference field="3" count="3">
            <x v="0"/>
            <x v="2"/>
            <x v="3"/>
          </reference>
        </references>
      </pivotArea>
    </format>
    <format dxfId="198">
      <pivotArea dataOnly="0" labelOnly="1" outline="0" fieldPosition="0">
        <references count="3">
          <reference field="2" count="1" selected="0">
            <x v="0"/>
          </reference>
          <reference field="3" count="1" selected="0">
            <x v="0"/>
          </reference>
          <reference field="4" count="2">
            <x v="0"/>
            <x v="2"/>
          </reference>
        </references>
      </pivotArea>
    </format>
    <format dxfId="197">
      <pivotArea dataOnly="0" labelOnly="1" outline="0" fieldPosition="0">
        <references count="3">
          <reference field="2" count="1" selected="0">
            <x v="0"/>
          </reference>
          <reference field="3" count="1" selected="0">
            <x v="1"/>
          </reference>
          <reference field="4" count="2">
            <x v="0"/>
            <x v="2"/>
          </reference>
        </references>
      </pivotArea>
    </format>
    <format dxfId="196">
      <pivotArea dataOnly="0" labelOnly="1" outline="0" fieldPosition="0">
        <references count="3">
          <reference field="2" count="1" selected="0">
            <x v="0"/>
          </reference>
          <reference field="3" count="1" selected="0">
            <x v="2"/>
          </reference>
          <reference field="4" count="2">
            <x v="1"/>
            <x v="2"/>
          </reference>
        </references>
      </pivotArea>
    </format>
    <format dxfId="195">
      <pivotArea dataOnly="0" labelOnly="1" outline="0" fieldPosition="0">
        <references count="3">
          <reference field="2" count="1" selected="0">
            <x v="0"/>
          </reference>
          <reference field="3" count="1" selected="0">
            <x v="3"/>
          </reference>
          <reference field="4" count="1">
            <x v="0"/>
          </reference>
        </references>
      </pivotArea>
    </format>
    <format dxfId="194">
      <pivotArea dataOnly="0" labelOnly="1" outline="0" fieldPosition="0">
        <references count="3">
          <reference field="2" count="1" selected="0">
            <x v="1"/>
          </reference>
          <reference field="3" count="1" selected="0">
            <x v="0"/>
          </reference>
          <reference field="4" count="2">
            <x v="0"/>
            <x v="1"/>
          </reference>
        </references>
      </pivotArea>
    </format>
    <format dxfId="193">
      <pivotArea dataOnly="0" labelOnly="1" outline="0" fieldPosition="0">
        <references count="3">
          <reference field="2" count="1" selected="0">
            <x v="1"/>
          </reference>
          <reference field="3" count="1" selected="0">
            <x v="1"/>
          </reference>
          <reference field="4" count="1">
            <x v="0"/>
          </reference>
        </references>
      </pivotArea>
    </format>
    <format dxfId="192">
      <pivotArea dataOnly="0" labelOnly="1" outline="0" fieldPosition="0">
        <references count="3">
          <reference field="2" count="1" selected="0">
            <x v="1"/>
          </reference>
          <reference field="3" count="1" selected="0">
            <x v="2"/>
          </reference>
          <reference field="4" count="2">
            <x v="0"/>
            <x v="1"/>
          </reference>
        </references>
      </pivotArea>
    </format>
    <format dxfId="191">
      <pivotArea dataOnly="0" labelOnly="1" outline="0" fieldPosition="0">
        <references count="3">
          <reference field="2" count="1" selected="0">
            <x v="1"/>
          </reference>
          <reference field="3" count="1" selected="0">
            <x v="3"/>
          </reference>
          <reference field="4" count="0"/>
        </references>
      </pivotArea>
    </format>
    <format dxfId="190">
      <pivotArea dataOnly="0" labelOnly="1" outline="0" fieldPosition="0">
        <references count="3">
          <reference field="2" count="1" selected="0">
            <x v="2"/>
          </reference>
          <reference field="3" count="1" selected="0">
            <x v="0"/>
          </reference>
          <reference field="4" count="0"/>
        </references>
      </pivotArea>
    </format>
    <format dxfId="189">
      <pivotArea dataOnly="0" labelOnly="1" outline="0" fieldPosition="0">
        <references count="3">
          <reference field="2" count="1" selected="0">
            <x v="2"/>
          </reference>
          <reference field="3" count="1" selected="0">
            <x v="1"/>
          </reference>
          <reference field="4" count="2">
            <x v="0"/>
            <x v="1"/>
          </reference>
        </references>
      </pivotArea>
    </format>
    <format dxfId="188">
      <pivotArea dataOnly="0" labelOnly="1" outline="0" fieldPosition="0">
        <references count="3">
          <reference field="2" count="1" selected="0">
            <x v="2"/>
          </reference>
          <reference field="3" count="1" selected="0">
            <x v="2"/>
          </reference>
          <reference field="4" count="0"/>
        </references>
      </pivotArea>
    </format>
    <format dxfId="187">
      <pivotArea dataOnly="0" labelOnly="1" outline="0" fieldPosition="0">
        <references count="3">
          <reference field="2" count="1" selected="0">
            <x v="2"/>
          </reference>
          <reference field="3" count="1" selected="0">
            <x v="3"/>
          </reference>
          <reference field="4" count="2">
            <x v="0"/>
            <x v="1"/>
          </reference>
        </references>
      </pivotArea>
    </format>
    <format dxfId="186">
      <pivotArea dataOnly="0" labelOnly="1" outline="0" fieldPosition="0">
        <references count="3">
          <reference field="2" count="1" selected="0">
            <x v="3"/>
          </reference>
          <reference field="3" count="1" selected="0">
            <x v="0"/>
          </reference>
          <reference field="4" count="1">
            <x v="1"/>
          </reference>
        </references>
      </pivotArea>
    </format>
    <format dxfId="185">
      <pivotArea dataOnly="0" labelOnly="1" outline="0" fieldPosition="0">
        <references count="3">
          <reference field="2" count="1" selected="0">
            <x v="3"/>
          </reference>
          <reference field="3" count="1" selected="0">
            <x v="2"/>
          </reference>
          <reference field="4" count="1">
            <x v="1"/>
          </reference>
        </references>
      </pivotArea>
    </format>
    <format dxfId="184">
      <pivotArea dataOnly="0" labelOnly="1" outline="0" fieldPosition="0">
        <references count="3">
          <reference field="2" count="1" selected="0">
            <x v="3"/>
          </reference>
          <reference field="3" count="1" selected="0">
            <x v="3"/>
          </reference>
          <reference field="4" count="1">
            <x v="0"/>
          </reference>
        </references>
      </pivotArea>
    </format>
    <format dxfId="183">
      <pivotArea dataOnly="0" labelOnly="1" outline="0" fieldPosition="0">
        <references count="3">
          <reference field="2" count="1" selected="0">
            <x v="4"/>
          </reference>
          <reference field="3" count="1" selected="0">
            <x v="0"/>
          </reference>
          <reference field="4" count="2">
            <x v="0"/>
            <x v="1"/>
          </reference>
        </references>
      </pivotArea>
    </format>
    <format dxfId="182">
      <pivotArea dataOnly="0" labelOnly="1" outline="0" fieldPosition="0">
        <references count="3">
          <reference field="2" count="1" selected="0">
            <x v="4"/>
          </reference>
          <reference field="3" count="1" selected="0">
            <x v="2"/>
          </reference>
          <reference field="4" count="1">
            <x v="2"/>
          </reference>
        </references>
      </pivotArea>
    </format>
    <format dxfId="181">
      <pivotArea dataOnly="0" labelOnly="1" outline="0" fieldPosition="0">
        <references count="3">
          <reference field="2" count="1" selected="0">
            <x v="4"/>
          </reference>
          <reference field="3" count="1" selected="0">
            <x v="3"/>
          </reference>
          <reference field="4" count="0"/>
        </references>
      </pivotArea>
    </format>
    <format dxfId="180">
      <pivotArea dataOnly="0" labelOnly="1" outline="0" fieldPosition="0">
        <references count="3">
          <reference field="2" count="1" selected="0">
            <x v="5"/>
          </reference>
          <reference field="3" count="1" selected="0">
            <x v="0"/>
          </reference>
          <reference field="4" count="2">
            <x v="0"/>
            <x v="2"/>
          </reference>
        </references>
      </pivotArea>
    </format>
    <format dxfId="179">
      <pivotArea dataOnly="0" labelOnly="1" outline="0" fieldPosition="0">
        <references count="3">
          <reference field="2" count="1" selected="0">
            <x v="5"/>
          </reference>
          <reference field="3" count="1" selected="0">
            <x v="1"/>
          </reference>
          <reference field="4" count="2">
            <x v="0"/>
            <x v="1"/>
          </reference>
        </references>
      </pivotArea>
    </format>
    <format dxfId="178">
      <pivotArea dataOnly="0" labelOnly="1" outline="0" fieldPosition="0">
        <references count="3">
          <reference field="2" count="1" selected="0">
            <x v="5"/>
          </reference>
          <reference field="3" count="1" selected="0">
            <x v="2"/>
          </reference>
          <reference field="4" count="1">
            <x v="0"/>
          </reference>
        </references>
      </pivotArea>
    </format>
    <format dxfId="177">
      <pivotArea dataOnly="0" labelOnly="1" outline="0" fieldPosition="0">
        <references count="3">
          <reference field="2" count="1" selected="0">
            <x v="5"/>
          </reference>
          <reference field="3" count="1" selected="0">
            <x v="3"/>
          </reference>
          <reference field="4" count="2">
            <x v="0"/>
            <x v="1"/>
          </reference>
        </references>
      </pivotArea>
    </format>
    <format dxfId="176">
      <pivotArea dataOnly="0" labelOnly="1" outline="0" fieldPosition="0">
        <references count="3">
          <reference field="2" count="1" selected="0">
            <x v="6"/>
          </reference>
          <reference field="3" count="1" selected="0">
            <x v="0"/>
          </reference>
          <reference field="4" count="2">
            <x v="1"/>
            <x v="2"/>
          </reference>
        </references>
      </pivotArea>
    </format>
    <format dxfId="175">
      <pivotArea dataOnly="0" labelOnly="1" outline="0" fieldPosition="0">
        <references count="3">
          <reference field="2" count="1" selected="0">
            <x v="6"/>
          </reference>
          <reference field="3" count="1" selected="0">
            <x v="1"/>
          </reference>
          <reference field="4" count="2">
            <x v="0"/>
            <x v="1"/>
          </reference>
        </references>
      </pivotArea>
    </format>
    <format dxfId="174">
      <pivotArea dataOnly="0" labelOnly="1" outline="0" fieldPosition="0">
        <references count="3">
          <reference field="2" count="1" selected="0">
            <x v="6"/>
          </reference>
          <reference field="3" count="1" selected="0">
            <x v="3"/>
          </reference>
          <reference field="4" count="1">
            <x v="0"/>
          </reference>
        </references>
      </pivotArea>
    </format>
    <format dxfId="173">
      <pivotArea dataOnly="0" labelOnly="1" outline="0" fieldPosition="0">
        <references count="3">
          <reference field="2" count="1" selected="0">
            <x v="7"/>
          </reference>
          <reference field="3" count="1" selected="0">
            <x v="0"/>
          </reference>
          <reference field="4" count="2">
            <x v="0"/>
            <x v="2"/>
          </reference>
        </references>
      </pivotArea>
    </format>
    <format dxfId="172">
      <pivotArea dataOnly="0" labelOnly="1" outline="0" fieldPosition="0">
        <references count="3">
          <reference field="2" count="1" selected="0">
            <x v="7"/>
          </reference>
          <reference field="3" count="1" selected="0">
            <x v="1"/>
          </reference>
          <reference field="4" count="1">
            <x v="1"/>
          </reference>
        </references>
      </pivotArea>
    </format>
    <format dxfId="171">
      <pivotArea dataOnly="0" labelOnly="1" outline="0" fieldPosition="0">
        <references count="3">
          <reference field="2" count="1" selected="0">
            <x v="7"/>
          </reference>
          <reference field="3" count="1" selected="0">
            <x v="2"/>
          </reference>
          <reference field="4" count="0"/>
        </references>
      </pivotArea>
    </format>
    <format dxfId="170">
      <pivotArea dataOnly="0" labelOnly="1" outline="0" fieldPosition="0">
        <references count="3">
          <reference field="2" count="1" selected="0">
            <x v="7"/>
          </reference>
          <reference field="3" count="1" selected="0">
            <x v="3"/>
          </reference>
          <reference field="4" count="1">
            <x v="2"/>
          </reference>
        </references>
      </pivotArea>
    </format>
    <format dxfId="169">
      <pivotArea dataOnly="0" labelOnly="1" outline="0" fieldPosition="0">
        <references count="3">
          <reference field="2" count="1" selected="0">
            <x v="8"/>
          </reference>
          <reference field="3" count="1" selected="0">
            <x v="0"/>
          </reference>
          <reference field="4" count="2">
            <x v="0"/>
            <x v="1"/>
          </reference>
        </references>
      </pivotArea>
    </format>
    <format dxfId="168">
      <pivotArea dataOnly="0" labelOnly="1" outline="0" fieldPosition="0">
        <references count="3">
          <reference field="2" count="1" selected="0">
            <x v="8"/>
          </reference>
          <reference field="3" count="1" selected="0">
            <x v="1"/>
          </reference>
          <reference field="4" count="2">
            <x v="0"/>
            <x v="2"/>
          </reference>
        </references>
      </pivotArea>
    </format>
    <format dxfId="167">
      <pivotArea dataOnly="0" labelOnly="1" outline="0" fieldPosition="0">
        <references count="3">
          <reference field="2" count="1" selected="0">
            <x v="8"/>
          </reference>
          <reference field="3" count="1" selected="0">
            <x v="2"/>
          </reference>
          <reference field="4" count="2">
            <x v="0"/>
            <x v="2"/>
          </reference>
        </references>
      </pivotArea>
    </format>
    <format dxfId="166">
      <pivotArea dataOnly="0" labelOnly="1" outline="0" fieldPosition="0">
        <references count="3">
          <reference field="2" count="1" selected="0">
            <x v="8"/>
          </reference>
          <reference field="3" count="1" selected="0">
            <x v="3"/>
          </reference>
          <reference field="4" count="1">
            <x v="2"/>
          </reference>
        </references>
      </pivotArea>
    </format>
    <format dxfId="165">
      <pivotArea dataOnly="0" labelOnly="1" outline="0" fieldPosition="0">
        <references count="3">
          <reference field="2" count="1" selected="0">
            <x v="9"/>
          </reference>
          <reference field="3" count="1" selected="0">
            <x v="0"/>
          </reference>
          <reference field="4" count="1">
            <x v="2"/>
          </reference>
        </references>
      </pivotArea>
    </format>
    <format dxfId="164">
      <pivotArea dataOnly="0" labelOnly="1" outline="0" fieldPosition="0">
        <references count="3">
          <reference field="2" count="1" selected="0">
            <x v="9"/>
          </reference>
          <reference field="3" count="1" selected="0">
            <x v="2"/>
          </reference>
          <reference field="4" count="1">
            <x v="2"/>
          </reference>
        </references>
      </pivotArea>
    </format>
    <format dxfId="163">
      <pivotArea dataOnly="0" labelOnly="1" outline="0" fieldPosition="0">
        <references count="3">
          <reference field="2" count="1" selected="0">
            <x v="9"/>
          </reference>
          <reference field="3" count="1" selected="0">
            <x v="3"/>
          </reference>
          <reference field="4" count="2">
            <x v="1"/>
            <x v="2"/>
          </reference>
        </references>
      </pivotArea>
    </format>
    <format dxfId="162">
      <pivotArea dataOnly="0" labelOnly="1" outline="0" axis="axisValues"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20B276-49FB-4FCB-A9EC-5C059E8BCB36}" name="PivotTable2" cacheId="76"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chartFormat="5">
  <location ref="A3:C14" firstHeaderRow="0" firstDataRow="1" firstDataCol="1"/>
  <pivotFields count="15">
    <pivotField compact="0" showAll="0"/>
    <pivotField compact="0"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compact="0" showAll="0">
      <items count="11">
        <item x="6"/>
        <item x="0"/>
        <item x="8"/>
        <item x="7"/>
        <item x="4"/>
        <item x="5"/>
        <item x="9"/>
        <item x="2"/>
        <item x="3"/>
        <item x="1"/>
        <item t="default"/>
      </items>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dataField="1" compact="0" dragToRow="0" dragToCol="0" dragToPage="0" showAll="0" defaultSubtota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Total Sales" fld="9" baseField="0" baseItem="0"/>
    <dataField name="Sum of Incentive" fld="1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Preset2_Accent1" showRowHeaders="1" showColHeaders="1" showRowStripes="0" showColStripes="0" showLastColumn="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FA1877-A087-449D-BC7A-B58CCEA70685}" name="PivotTable1" cacheId="76"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E3:F104" firstHeaderRow="1" firstDataRow="1" firstDataCol="1"/>
  <pivotFields count="15">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Profit" fld="10"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3C1C97-5F02-4940-B37F-1E4AF2FF2AA6}" name="PivotTable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6" firstHeaderRow="1" firstDataRow="1" firstDataCol="1"/>
  <pivotFields count="15">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13">
    <i>
      <x v="1"/>
    </i>
    <i>
      <x v="2"/>
    </i>
    <i>
      <x v="3"/>
    </i>
    <i>
      <x v="4"/>
    </i>
    <i>
      <x v="5"/>
    </i>
    <i>
      <x v="6"/>
    </i>
    <i>
      <x v="7"/>
    </i>
    <i>
      <x v="8"/>
    </i>
    <i>
      <x v="9"/>
    </i>
    <i>
      <x v="10"/>
    </i>
    <i>
      <x v="11"/>
    </i>
    <i>
      <x v="12"/>
    </i>
    <i t="grand">
      <x/>
    </i>
  </rowItems>
  <colItems count="1">
    <i/>
  </colItems>
  <dataFields count="1">
    <dataField name="Sum of Total Sales" fld="9"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4532C9-BF7F-4E37-8B38-53849E9CE69B}" name="PivotTable3" cacheId="46"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H4:H5" firstHeaderRow="1" firstDataRow="1" firstDataCol="0" rowPageCount="1" colPageCount="1"/>
  <pivotFields count="12">
    <pivotField showAll="0"/>
    <pivotField numFmtId="14" showAll="0"/>
    <pivotField axis="axisPage" showAll="0">
      <items count="11">
        <item x="6"/>
        <item x="0"/>
        <item x="8"/>
        <item x="7"/>
        <item x="4"/>
        <item x="5"/>
        <item x="9"/>
        <item x="2"/>
        <item x="3"/>
        <item x="1"/>
        <item t="default"/>
      </items>
    </pivotField>
    <pivotField multipleItemSelectionAllowed="1" showAll="0"/>
    <pivotField showAll="0"/>
    <pivotField showAll="0"/>
    <pivotField showAll="0"/>
    <pivotField showAll="0"/>
    <pivotField showAll="0"/>
    <pivotField dataField="1" showAll="0"/>
    <pivotField showAll="0"/>
    <pivotField showAll="0"/>
  </pivotFields>
  <rowItems count="1">
    <i/>
  </rowItems>
  <colItems count="1">
    <i/>
  </colItems>
  <pageFields count="1">
    <pageField fld="2" item="1" hier="-1"/>
  </pageFields>
  <dataFields count="1">
    <dataField name="Sum of Total Sales" fld="9"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B06A8E-2D6D-49E0-A567-2CD3B9B421C5}" name="PivotTable7" cacheId="76"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D1:G66" firstHeaderRow="1" firstDataRow="1" firstDataCol="3"/>
  <pivotFields count="15">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87">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s>
      <extLst>
        <ext xmlns:x14="http://schemas.microsoft.com/office/spreadsheetml/2009/9/main" uri="{2946ED86-A175-432a-8AC1-64E0C546D7DE}">
          <x14:pivotField fillDownLabels="1"/>
        </ext>
      </extLst>
    </pivotField>
    <pivotField axis="axisRow" compact="0" outline="0" showAll="0" defaultSubtotal="0">
      <items count="10">
        <item x="6"/>
        <item x="0"/>
        <item x="8"/>
        <item x="7"/>
        <item x="4"/>
        <item x="5"/>
        <item x="9"/>
        <item x="2"/>
        <item x="3"/>
        <item x="1"/>
      </items>
      <extLst>
        <ext xmlns:x14="http://schemas.microsoft.com/office/spreadsheetml/2009/9/main" uri="{2946ED86-A175-432a-8AC1-64E0C546D7DE}">
          <x14:pivotField fillDownLabels="1"/>
        </ext>
      </extLst>
    </pivotField>
    <pivotField axis="axisRow" compact="0" outline="0" showAll="0" defaultSubtotal="0">
      <items count="4">
        <item x="1"/>
        <item x="3"/>
        <item x="0"/>
        <item x="2"/>
      </items>
      <extLst>
        <ext xmlns:x14="http://schemas.microsoft.com/office/spreadsheetml/2009/9/main" uri="{2946ED86-A175-432a-8AC1-64E0C546D7DE}">
          <x14:pivotField fillDownLabels="1"/>
        </ext>
      </extLst>
    </pivotField>
    <pivotField axis="axisRow" compact="0" outline="0" showAll="0" defaultSubtotal="0">
      <items count="3">
        <item x="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dragToRow="0" dragToCol="0" dragToPage="0" showAll="0" defaultSubtotal="0">
      <extLst>
        <ext xmlns:x14="http://schemas.microsoft.com/office/spreadsheetml/2009/9/main" uri="{2946ED86-A175-432a-8AC1-64E0C546D7DE}">
          <x14:pivotField fillDownLabels="1"/>
        </ext>
      </extLst>
    </pivotField>
  </pivotFields>
  <rowFields count="3">
    <field x="2"/>
    <field x="3"/>
    <field x="4"/>
  </rowFields>
  <rowItems count="65">
    <i>
      <x/>
      <x/>
      <x/>
    </i>
    <i r="2">
      <x v="2"/>
    </i>
    <i r="1">
      <x v="1"/>
      <x/>
    </i>
    <i r="2">
      <x v="2"/>
    </i>
    <i r="1">
      <x v="2"/>
      <x v="1"/>
    </i>
    <i r="2">
      <x v="2"/>
    </i>
    <i r="1">
      <x v="3"/>
      <x/>
    </i>
    <i>
      <x v="1"/>
      <x/>
      <x/>
    </i>
    <i r="2">
      <x v="1"/>
    </i>
    <i r="1">
      <x v="1"/>
      <x/>
    </i>
    <i r="1">
      <x v="2"/>
      <x/>
    </i>
    <i r="2">
      <x v="1"/>
    </i>
    <i r="1">
      <x v="3"/>
      <x/>
    </i>
    <i r="2">
      <x v="1"/>
    </i>
    <i r="2">
      <x v="2"/>
    </i>
    <i>
      <x v="2"/>
      <x/>
      <x/>
    </i>
    <i r="2">
      <x v="1"/>
    </i>
    <i r="2">
      <x v="2"/>
    </i>
    <i r="1">
      <x v="1"/>
      <x/>
    </i>
    <i r="2">
      <x v="1"/>
    </i>
    <i r="1">
      <x v="2"/>
      <x/>
    </i>
    <i r="2">
      <x v="1"/>
    </i>
    <i r="2">
      <x v="2"/>
    </i>
    <i r="1">
      <x v="3"/>
      <x/>
    </i>
    <i r="2">
      <x v="1"/>
    </i>
    <i>
      <x v="3"/>
      <x/>
      <x v="1"/>
    </i>
    <i r="1">
      <x v="2"/>
      <x v="1"/>
    </i>
    <i r="1">
      <x v="3"/>
      <x/>
    </i>
    <i>
      <x v="4"/>
      <x/>
      <x/>
    </i>
    <i r="2">
      <x v="1"/>
    </i>
    <i r="1">
      <x v="2"/>
      <x v="2"/>
    </i>
    <i r="1">
      <x v="3"/>
      <x/>
    </i>
    <i r="2">
      <x v="1"/>
    </i>
    <i r="2">
      <x v="2"/>
    </i>
    <i>
      <x v="5"/>
      <x/>
      <x/>
    </i>
    <i r="2">
      <x v="2"/>
    </i>
    <i r="1">
      <x v="1"/>
      <x/>
    </i>
    <i r="2">
      <x v="1"/>
    </i>
    <i r="1">
      <x v="2"/>
      <x/>
    </i>
    <i r="1">
      <x v="3"/>
      <x/>
    </i>
    <i r="2">
      <x v="1"/>
    </i>
    <i>
      <x v="6"/>
      <x/>
      <x v="1"/>
    </i>
    <i r="2">
      <x v="2"/>
    </i>
    <i r="1">
      <x v="1"/>
      <x/>
    </i>
    <i r="2">
      <x v="1"/>
    </i>
    <i r="1">
      <x v="3"/>
      <x/>
    </i>
    <i>
      <x v="7"/>
      <x/>
      <x/>
    </i>
    <i r="2">
      <x v="2"/>
    </i>
    <i r="1">
      <x v="1"/>
      <x v="1"/>
    </i>
    <i r="1">
      <x v="2"/>
      <x/>
    </i>
    <i r="2">
      <x v="1"/>
    </i>
    <i r="2">
      <x v="2"/>
    </i>
    <i r="1">
      <x v="3"/>
      <x v="2"/>
    </i>
    <i>
      <x v="8"/>
      <x/>
      <x/>
    </i>
    <i r="2">
      <x v="1"/>
    </i>
    <i r="1">
      <x v="1"/>
      <x/>
    </i>
    <i r="2">
      <x v="2"/>
    </i>
    <i r="1">
      <x v="2"/>
      <x/>
    </i>
    <i r="2">
      <x v="2"/>
    </i>
    <i r="1">
      <x v="3"/>
      <x v="2"/>
    </i>
    <i>
      <x v="9"/>
      <x/>
      <x v="2"/>
    </i>
    <i r="1">
      <x v="2"/>
      <x v="2"/>
    </i>
    <i r="1">
      <x v="3"/>
      <x v="1"/>
    </i>
    <i r="2">
      <x v="2"/>
    </i>
    <i t="grand">
      <x/>
    </i>
  </rowItems>
  <colItems count="1">
    <i/>
  </colItems>
  <dataFields count="1">
    <dataField name="Sum of Total Sales" fld="9" baseField="0" baseItem="0"/>
  </dataFields>
  <formats count="54">
    <format dxfId="108">
      <pivotArea type="all" dataOnly="0" outline="0" fieldPosition="0"/>
    </format>
    <format dxfId="109">
      <pivotArea outline="0" collapsedLevelsAreSubtotals="1" fieldPosition="0"/>
    </format>
    <format dxfId="110">
      <pivotArea field="2" type="button" dataOnly="0" labelOnly="1" outline="0" axis="axisRow" fieldPosition="0"/>
    </format>
    <format dxfId="111">
      <pivotArea field="3" type="button" dataOnly="0" labelOnly="1" outline="0" axis="axisRow" fieldPosition="1"/>
    </format>
    <format dxfId="112">
      <pivotArea field="4" type="button" dataOnly="0" labelOnly="1" outline="0" axis="axisRow" fieldPosition="2"/>
    </format>
    <format dxfId="113">
      <pivotArea dataOnly="0" labelOnly="1" outline="0" fieldPosition="0">
        <references count="1">
          <reference field="2" count="0"/>
        </references>
      </pivotArea>
    </format>
    <format dxfId="114">
      <pivotArea dataOnly="0" labelOnly="1" grandRow="1" outline="0" fieldPosition="0"/>
    </format>
    <format dxfId="115">
      <pivotArea dataOnly="0" labelOnly="1" outline="0" fieldPosition="0">
        <references count="2">
          <reference field="2" count="1" selected="0">
            <x v="0"/>
          </reference>
          <reference field="3" count="0"/>
        </references>
      </pivotArea>
    </format>
    <format dxfId="116">
      <pivotArea dataOnly="0" labelOnly="1" outline="0" fieldPosition="0">
        <references count="2">
          <reference field="2" count="1" selected="0">
            <x v="1"/>
          </reference>
          <reference field="3" count="0"/>
        </references>
      </pivotArea>
    </format>
    <format dxfId="117">
      <pivotArea dataOnly="0" labelOnly="1" outline="0" fieldPosition="0">
        <references count="2">
          <reference field="2" count="1" selected="0">
            <x v="2"/>
          </reference>
          <reference field="3" count="0"/>
        </references>
      </pivotArea>
    </format>
    <format dxfId="118">
      <pivotArea dataOnly="0" labelOnly="1" outline="0" fieldPosition="0">
        <references count="2">
          <reference field="2" count="1" selected="0">
            <x v="3"/>
          </reference>
          <reference field="3" count="3">
            <x v="0"/>
            <x v="2"/>
            <x v="3"/>
          </reference>
        </references>
      </pivotArea>
    </format>
    <format dxfId="119">
      <pivotArea dataOnly="0" labelOnly="1" outline="0" fieldPosition="0">
        <references count="2">
          <reference field="2" count="1" selected="0">
            <x v="4"/>
          </reference>
          <reference field="3" count="3">
            <x v="0"/>
            <x v="2"/>
            <x v="3"/>
          </reference>
        </references>
      </pivotArea>
    </format>
    <format dxfId="120">
      <pivotArea dataOnly="0" labelOnly="1" outline="0" fieldPosition="0">
        <references count="2">
          <reference field="2" count="1" selected="0">
            <x v="5"/>
          </reference>
          <reference field="3" count="0"/>
        </references>
      </pivotArea>
    </format>
    <format dxfId="121">
      <pivotArea dataOnly="0" labelOnly="1" outline="0" fieldPosition="0">
        <references count="2">
          <reference field="2" count="1" selected="0">
            <x v="6"/>
          </reference>
          <reference field="3" count="3">
            <x v="0"/>
            <x v="1"/>
            <x v="3"/>
          </reference>
        </references>
      </pivotArea>
    </format>
    <format dxfId="122">
      <pivotArea dataOnly="0" labelOnly="1" outline="0" fieldPosition="0">
        <references count="2">
          <reference field="2" count="1" selected="0">
            <x v="7"/>
          </reference>
          <reference field="3" count="0"/>
        </references>
      </pivotArea>
    </format>
    <format dxfId="123">
      <pivotArea dataOnly="0" labelOnly="1" outline="0" fieldPosition="0">
        <references count="2">
          <reference field="2" count="1" selected="0">
            <x v="8"/>
          </reference>
          <reference field="3" count="0"/>
        </references>
      </pivotArea>
    </format>
    <format dxfId="124">
      <pivotArea dataOnly="0" labelOnly="1" outline="0" fieldPosition="0">
        <references count="2">
          <reference field="2" count="1" selected="0">
            <x v="9"/>
          </reference>
          <reference field="3" count="3">
            <x v="0"/>
            <x v="2"/>
            <x v="3"/>
          </reference>
        </references>
      </pivotArea>
    </format>
    <format dxfId="125">
      <pivotArea dataOnly="0" labelOnly="1" outline="0" fieldPosition="0">
        <references count="3">
          <reference field="2" count="1" selected="0">
            <x v="0"/>
          </reference>
          <reference field="3" count="1" selected="0">
            <x v="0"/>
          </reference>
          <reference field="4" count="2">
            <x v="0"/>
            <x v="2"/>
          </reference>
        </references>
      </pivotArea>
    </format>
    <format dxfId="126">
      <pivotArea dataOnly="0" labelOnly="1" outline="0" fieldPosition="0">
        <references count="3">
          <reference field="2" count="1" selected="0">
            <x v="0"/>
          </reference>
          <reference field="3" count="1" selected="0">
            <x v="1"/>
          </reference>
          <reference field="4" count="2">
            <x v="0"/>
            <x v="2"/>
          </reference>
        </references>
      </pivotArea>
    </format>
    <format dxfId="127">
      <pivotArea dataOnly="0" labelOnly="1" outline="0" fieldPosition="0">
        <references count="3">
          <reference field="2" count="1" selected="0">
            <x v="0"/>
          </reference>
          <reference field="3" count="1" selected="0">
            <x v="2"/>
          </reference>
          <reference field="4" count="2">
            <x v="1"/>
            <x v="2"/>
          </reference>
        </references>
      </pivotArea>
    </format>
    <format dxfId="128">
      <pivotArea dataOnly="0" labelOnly="1" outline="0" fieldPosition="0">
        <references count="3">
          <reference field="2" count="1" selected="0">
            <x v="0"/>
          </reference>
          <reference field="3" count="1" selected="0">
            <x v="3"/>
          </reference>
          <reference field="4" count="1">
            <x v="0"/>
          </reference>
        </references>
      </pivotArea>
    </format>
    <format dxfId="129">
      <pivotArea dataOnly="0" labelOnly="1" outline="0" fieldPosition="0">
        <references count="3">
          <reference field="2" count="1" selected="0">
            <x v="1"/>
          </reference>
          <reference field="3" count="1" selected="0">
            <x v="0"/>
          </reference>
          <reference field="4" count="2">
            <x v="0"/>
            <x v="1"/>
          </reference>
        </references>
      </pivotArea>
    </format>
    <format dxfId="130">
      <pivotArea dataOnly="0" labelOnly="1" outline="0" fieldPosition="0">
        <references count="3">
          <reference field="2" count="1" selected="0">
            <x v="1"/>
          </reference>
          <reference field="3" count="1" selected="0">
            <x v="1"/>
          </reference>
          <reference field="4" count="1">
            <x v="0"/>
          </reference>
        </references>
      </pivotArea>
    </format>
    <format dxfId="131">
      <pivotArea dataOnly="0" labelOnly="1" outline="0" fieldPosition="0">
        <references count="3">
          <reference field="2" count="1" selected="0">
            <x v="1"/>
          </reference>
          <reference field="3" count="1" selected="0">
            <x v="2"/>
          </reference>
          <reference field="4" count="2">
            <x v="0"/>
            <x v="1"/>
          </reference>
        </references>
      </pivotArea>
    </format>
    <format dxfId="132">
      <pivotArea dataOnly="0" labelOnly="1" outline="0" fieldPosition="0">
        <references count="3">
          <reference field="2" count="1" selected="0">
            <x v="1"/>
          </reference>
          <reference field="3" count="1" selected="0">
            <x v="3"/>
          </reference>
          <reference field="4" count="0"/>
        </references>
      </pivotArea>
    </format>
    <format dxfId="133">
      <pivotArea dataOnly="0" labelOnly="1" outline="0" fieldPosition="0">
        <references count="3">
          <reference field="2" count="1" selected="0">
            <x v="2"/>
          </reference>
          <reference field="3" count="1" selected="0">
            <x v="0"/>
          </reference>
          <reference field="4" count="0"/>
        </references>
      </pivotArea>
    </format>
    <format dxfId="134">
      <pivotArea dataOnly="0" labelOnly="1" outline="0" fieldPosition="0">
        <references count="3">
          <reference field="2" count="1" selected="0">
            <x v="2"/>
          </reference>
          <reference field="3" count="1" selected="0">
            <x v="1"/>
          </reference>
          <reference field="4" count="2">
            <x v="0"/>
            <x v="1"/>
          </reference>
        </references>
      </pivotArea>
    </format>
    <format dxfId="135">
      <pivotArea dataOnly="0" labelOnly="1" outline="0" fieldPosition="0">
        <references count="3">
          <reference field="2" count="1" selected="0">
            <x v="2"/>
          </reference>
          <reference field="3" count="1" selected="0">
            <x v="2"/>
          </reference>
          <reference field="4" count="0"/>
        </references>
      </pivotArea>
    </format>
    <format dxfId="136">
      <pivotArea dataOnly="0" labelOnly="1" outline="0" fieldPosition="0">
        <references count="3">
          <reference field="2" count="1" selected="0">
            <x v="2"/>
          </reference>
          <reference field="3" count="1" selected="0">
            <x v="3"/>
          </reference>
          <reference field="4" count="2">
            <x v="0"/>
            <x v="1"/>
          </reference>
        </references>
      </pivotArea>
    </format>
    <format dxfId="137">
      <pivotArea dataOnly="0" labelOnly="1" outline="0" fieldPosition="0">
        <references count="3">
          <reference field="2" count="1" selected="0">
            <x v="3"/>
          </reference>
          <reference field="3" count="1" selected="0">
            <x v="0"/>
          </reference>
          <reference field="4" count="1">
            <x v="1"/>
          </reference>
        </references>
      </pivotArea>
    </format>
    <format dxfId="138">
      <pivotArea dataOnly="0" labelOnly="1" outline="0" fieldPosition="0">
        <references count="3">
          <reference field="2" count="1" selected="0">
            <x v="3"/>
          </reference>
          <reference field="3" count="1" selected="0">
            <x v="2"/>
          </reference>
          <reference field="4" count="1">
            <x v="1"/>
          </reference>
        </references>
      </pivotArea>
    </format>
    <format dxfId="139">
      <pivotArea dataOnly="0" labelOnly="1" outline="0" fieldPosition="0">
        <references count="3">
          <reference field="2" count="1" selected="0">
            <x v="3"/>
          </reference>
          <reference field="3" count="1" selected="0">
            <x v="3"/>
          </reference>
          <reference field="4" count="1">
            <x v="0"/>
          </reference>
        </references>
      </pivotArea>
    </format>
    <format dxfId="140">
      <pivotArea dataOnly="0" labelOnly="1" outline="0" fieldPosition="0">
        <references count="3">
          <reference field="2" count="1" selected="0">
            <x v="4"/>
          </reference>
          <reference field="3" count="1" selected="0">
            <x v="0"/>
          </reference>
          <reference field="4" count="2">
            <x v="0"/>
            <x v="1"/>
          </reference>
        </references>
      </pivotArea>
    </format>
    <format dxfId="141">
      <pivotArea dataOnly="0" labelOnly="1" outline="0" fieldPosition="0">
        <references count="3">
          <reference field="2" count="1" selected="0">
            <x v="4"/>
          </reference>
          <reference field="3" count="1" selected="0">
            <x v="2"/>
          </reference>
          <reference field="4" count="1">
            <x v="2"/>
          </reference>
        </references>
      </pivotArea>
    </format>
    <format dxfId="142">
      <pivotArea dataOnly="0" labelOnly="1" outline="0" fieldPosition="0">
        <references count="3">
          <reference field="2" count="1" selected="0">
            <x v="4"/>
          </reference>
          <reference field="3" count="1" selected="0">
            <x v="3"/>
          </reference>
          <reference field="4" count="0"/>
        </references>
      </pivotArea>
    </format>
    <format dxfId="143">
      <pivotArea dataOnly="0" labelOnly="1" outline="0" fieldPosition="0">
        <references count="3">
          <reference field="2" count="1" selected="0">
            <x v="5"/>
          </reference>
          <reference field="3" count="1" selected="0">
            <x v="0"/>
          </reference>
          <reference field="4" count="2">
            <x v="0"/>
            <x v="2"/>
          </reference>
        </references>
      </pivotArea>
    </format>
    <format dxfId="144">
      <pivotArea dataOnly="0" labelOnly="1" outline="0" fieldPosition="0">
        <references count="3">
          <reference field="2" count="1" selected="0">
            <x v="5"/>
          </reference>
          <reference field="3" count="1" selected="0">
            <x v="1"/>
          </reference>
          <reference field="4" count="2">
            <x v="0"/>
            <x v="1"/>
          </reference>
        </references>
      </pivotArea>
    </format>
    <format dxfId="145">
      <pivotArea dataOnly="0" labelOnly="1" outline="0" fieldPosition="0">
        <references count="3">
          <reference field="2" count="1" selected="0">
            <x v="5"/>
          </reference>
          <reference field="3" count="1" selected="0">
            <x v="2"/>
          </reference>
          <reference field="4" count="1">
            <x v="0"/>
          </reference>
        </references>
      </pivotArea>
    </format>
    <format dxfId="146">
      <pivotArea dataOnly="0" labelOnly="1" outline="0" fieldPosition="0">
        <references count="3">
          <reference field="2" count="1" selected="0">
            <x v="5"/>
          </reference>
          <reference field="3" count="1" selected="0">
            <x v="3"/>
          </reference>
          <reference field="4" count="2">
            <x v="0"/>
            <x v="1"/>
          </reference>
        </references>
      </pivotArea>
    </format>
    <format dxfId="147">
      <pivotArea dataOnly="0" labelOnly="1" outline="0" fieldPosition="0">
        <references count="3">
          <reference field="2" count="1" selected="0">
            <x v="6"/>
          </reference>
          <reference field="3" count="1" selected="0">
            <x v="0"/>
          </reference>
          <reference field="4" count="2">
            <x v="1"/>
            <x v="2"/>
          </reference>
        </references>
      </pivotArea>
    </format>
    <format dxfId="148">
      <pivotArea dataOnly="0" labelOnly="1" outline="0" fieldPosition="0">
        <references count="3">
          <reference field="2" count="1" selected="0">
            <x v="6"/>
          </reference>
          <reference field="3" count="1" selected="0">
            <x v="1"/>
          </reference>
          <reference field="4" count="2">
            <x v="0"/>
            <x v="1"/>
          </reference>
        </references>
      </pivotArea>
    </format>
    <format dxfId="149">
      <pivotArea dataOnly="0" labelOnly="1" outline="0" fieldPosition="0">
        <references count="3">
          <reference field="2" count="1" selected="0">
            <x v="6"/>
          </reference>
          <reference field="3" count="1" selected="0">
            <x v="3"/>
          </reference>
          <reference field="4" count="1">
            <x v="0"/>
          </reference>
        </references>
      </pivotArea>
    </format>
    <format dxfId="150">
      <pivotArea dataOnly="0" labelOnly="1" outline="0" fieldPosition="0">
        <references count="3">
          <reference field="2" count="1" selected="0">
            <x v="7"/>
          </reference>
          <reference field="3" count="1" selected="0">
            <x v="0"/>
          </reference>
          <reference field="4" count="2">
            <x v="0"/>
            <x v="2"/>
          </reference>
        </references>
      </pivotArea>
    </format>
    <format dxfId="151">
      <pivotArea dataOnly="0" labelOnly="1" outline="0" fieldPosition="0">
        <references count="3">
          <reference field="2" count="1" selected="0">
            <x v="7"/>
          </reference>
          <reference field="3" count="1" selected="0">
            <x v="1"/>
          </reference>
          <reference field="4" count="1">
            <x v="1"/>
          </reference>
        </references>
      </pivotArea>
    </format>
    <format dxfId="152">
      <pivotArea dataOnly="0" labelOnly="1" outline="0" fieldPosition="0">
        <references count="3">
          <reference field="2" count="1" selected="0">
            <x v="7"/>
          </reference>
          <reference field="3" count="1" selected="0">
            <x v="2"/>
          </reference>
          <reference field="4" count="0"/>
        </references>
      </pivotArea>
    </format>
    <format dxfId="153">
      <pivotArea dataOnly="0" labelOnly="1" outline="0" fieldPosition="0">
        <references count="3">
          <reference field="2" count="1" selected="0">
            <x v="7"/>
          </reference>
          <reference field="3" count="1" selected="0">
            <x v="3"/>
          </reference>
          <reference field="4" count="1">
            <x v="2"/>
          </reference>
        </references>
      </pivotArea>
    </format>
    <format dxfId="154">
      <pivotArea dataOnly="0" labelOnly="1" outline="0" fieldPosition="0">
        <references count="3">
          <reference field="2" count="1" selected="0">
            <x v="8"/>
          </reference>
          <reference field="3" count="1" selected="0">
            <x v="0"/>
          </reference>
          <reference field="4" count="2">
            <x v="0"/>
            <x v="1"/>
          </reference>
        </references>
      </pivotArea>
    </format>
    <format dxfId="155">
      <pivotArea dataOnly="0" labelOnly="1" outline="0" fieldPosition="0">
        <references count="3">
          <reference field="2" count="1" selected="0">
            <x v="8"/>
          </reference>
          <reference field="3" count="1" selected="0">
            <x v="1"/>
          </reference>
          <reference field="4" count="2">
            <x v="0"/>
            <x v="2"/>
          </reference>
        </references>
      </pivotArea>
    </format>
    <format dxfId="156">
      <pivotArea dataOnly="0" labelOnly="1" outline="0" fieldPosition="0">
        <references count="3">
          <reference field="2" count="1" selected="0">
            <x v="8"/>
          </reference>
          <reference field="3" count="1" selected="0">
            <x v="2"/>
          </reference>
          <reference field="4" count="2">
            <x v="0"/>
            <x v="2"/>
          </reference>
        </references>
      </pivotArea>
    </format>
    <format dxfId="157">
      <pivotArea dataOnly="0" labelOnly="1" outline="0" fieldPosition="0">
        <references count="3">
          <reference field="2" count="1" selected="0">
            <x v="8"/>
          </reference>
          <reference field="3" count="1" selected="0">
            <x v="3"/>
          </reference>
          <reference field="4" count="1">
            <x v="2"/>
          </reference>
        </references>
      </pivotArea>
    </format>
    <format dxfId="158">
      <pivotArea dataOnly="0" labelOnly="1" outline="0" fieldPosition="0">
        <references count="3">
          <reference field="2" count="1" selected="0">
            <x v="9"/>
          </reference>
          <reference field="3" count="1" selected="0">
            <x v="0"/>
          </reference>
          <reference field="4" count="1">
            <x v="2"/>
          </reference>
        </references>
      </pivotArea>
    </format>
    <format dxfId="159">
      <pivotArea dataOnly="0" labelOnly="1" outline="0" fieldPosition="0">
        <references count="3">
          <reference field="2" count="1" selected="0">
            <x v="9"/>
          </reference>
          <reference field="3" count="1" selected="0">
            <x v="2"/>
          </reference>
          <reference field="4" count="1">
            <x v="2"/>
          </reference>
        </references>
      </pivotArea>
    </format>
    <format dxfId="160">
      <pivotArea dataOnly="0" labelOnly="1" outline="0" fieldPosition="0">
        <references count="3">
          <reference field="2" count="1" selected="0">
            <x v="9"/>
          </reference>
          <reference field="3" count="1" selected="0">
            <x v="3"/>
          </reference>
          <reference field="4" count="2">
            <x v="1"/>
            <x v="2"/>
          </reference>
        </references>
      </pivotArea>
    </format>
    <format dxfId="161">
      <pivotArea dataOnly="0" labelOnly="1" outline="0" axis="axisValues"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C82345-B401-491A-9804-E38275E2904C}" name="PivotTable6" cacheId="7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B112" firstHeaderRow="1" firstDataRow="1" firstDataCol="1"/>
  <pivotFields count="15">
    <pivotField showAll="0" defaultSubtotal="0"/>
    <pivotField numFmtId="14" showAll="0" defaultSubtotal="0">
      <items count="87">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s>
    </pivotField>
    <pivotField axis="axisRow" showAll="0" defaultSubtotal="0">
      <items count="10">
        <item x="6"/>
        <item x="0"/>
        <item x="8"/>
        <item x="7"/>
        <item x="4"/>
        <item x="5"/>
        <item x="9"/>
        <item x="2"/>
        <item x="3"/>
        <item x="1"/>
      </items>
    </pivotField>
    <pivotField axis="axisRow" showAll="0" defaultSubtotal="0">
      <items count="4">
        <item x="1"/>
        <item x="3"/>
        <item x="0"/>
        <item x="2"/>
      </items>
    </pivotField>
    <pivotField axis="axisRow" showAll="0" defaultSubtotal="0">
      <items count="3">
        <item x="2"/>
        <item x="0"/>
        <item x="1"/>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items count="14">
        <item x="0"/>
        <item x="1"/>
        <item x="2"/>
        <item x="3"/>
        <item x="4"/>
        <item x="5"/>
        <item x="6"/>
        <item x="7"/>
        <item x="8"/>
        <item x="9"/>
        <item x="10"/>
        <item x="11"/>
        <item x="12"/>
        <item x="13"/>
      </items>
    </pivotField>
    <pivotField subtotalTop="0" dragToRow="0" dragToCol="0" dragToPage="0" showAll="0" defaultSubtotal="0"/>
  </pivotFields>
  <rowFields count="3">
    <field x="2"/>
    <field x="3"/>
    <field x="4"/>
  </rowFields>
  <rowItems count="111">
    <i>
      <x/>
    </i>
    <i r="1">
      <x/>
    </i>
    <i r="2">
      <x/>
    </i>
    <i r="2">
      <x v="2"/>
    </i>
    <i r="1">
      <x v="1"/>
    </i>
    <i r="2">
      <x/>
    </i>
    <i r="2">
      <x v="2"/>
    </i>
    <i r="1">
      <x v="2"/>
    </i>
    <i r="2">
      <x v="1"/>
    </i>
    <i r="2">
      <x v="2"/>
    </i>
    <i r="1">
      <x v="3"/>
    </i>
    <i r="2">
      <x/>
    </i>
    <i>
      <x v="1"/>
    </i>
    <i r="1">
      <x/>
    </i>
    <i r="2">
      <x/>
    </i>
    <i r="2">
      <x v="1"/>
    </i>
    <i r="1">
      <x v="1"/>
    </i>
    <i r="2">
      <x/>
    </i>
    <i r="1">
      <x v="2"/>
    </i>
    <i r="2">
      <x/>
    </i>
    <i r="2">
      <x v="1"/>
    </i>
    <i r="1">
      <x v="3"/>
    </i>
    <i r="2">
      <x/>
    </i>
    <i r="2">
      <x v="1"/>
    </i>
    <i r="2">
      <x v="2"/>
    </i>
    <i>
      <x v="2"/>
    </i>
    <i r="1">
      <x/>
    </i>
    <i r="2">
      <x/>
    </i>
    <i r="2">
      <x v="1"/>
    </i>
    <i r="2">
      <x v="2"/>
    </i>
    <i r="1">
      <x v="1"/>
    </i>
    <i r="2">
      <x/>
    </i>
    <i r="2">
      <x v="1"/>
    </i>
    <i r="1">
      <x v="2"/>
    </i>
    <i r="2">
      <x/>
    </i>
    <i r="2">
      <x v="1"/>
    </i>
    <i r="2">
      <x v="2"/>
    </i>
    <i r="1">
      <x v="3"/>
    </i>
    <i r="2">
      <x/>
    </i>
    <i r="2">
      <x v="1"/>
    </i>
    <i>
      <x v="3"/>
    </i>
    <i r="1">
      <x/>
    </i>
    <i r="2">
      <x v="1"/>
    </i>
    <i r="1">
      <x v="2"/>
    </i>
    <i r="2">
      <x v="1"/>
    </i>
    <i r="1">
      <x v="3"/>
    </i>
    <i r="2">
      <x/>
    </i>
    <i>
      <x v="4"/>
    </i>
    <i r="1">
      <x/>
    </i>
    <i r="2">
      <x/>
    </i>
    <i r="2">
      <x v="1"/>
    </i>
    <i r="1">
      <x v="2"/>
    </i>
    <i r="2">
      <x v="2"/>
    </i>
    <i r="1">
      <x v="3"/>
    </i>
    <i r="2">
      <x/>
    </i>
    <i r="2">
      <x v="1"/>
    </i>
    <i r="2">
      <x v="2"/>
    </i>
    <i>
      <x v="5"/>
    </i>
    <i r="1">
      <x/>
    </i>
    <i r="2">
      <x/>
    </i>
    <i r="2">
      <x v="2"/>
    </i>
    <i r="1">
      <x v="1"/>
    </i>
    <i r="2">
      <x/>
    </i>
    <i r="2">
      <x v="1"/>
    </i>
    <i r="1">
      <x v="2"/>
    </i>
    <i r="2">
      <x/>
    </i>
    <i r="1">
      <x v="3"/>
    </i>
    <i r="2">
      <x/>
    </i>
    <i r="2">
      <x v="1"/>
    </i>
    <i>
      <x v="6"/>
    </i>
    <i r="1">
      <x/>
    </i>
    <i r="2">
      <x v="1"/>
    </i>
    <i r="2">
      <x v="2"/>
    </i>
    <i r="1">
      <x v="1"/>
    </i>
    <i r="2">
      <x/>
    </i>
    <i r="2">
      <x v="1"/>
    </i>
    <i r="1">
      <x v="3"/>
    </i>
    <i r="2">
      <x/>
    </i>
    <i>
      <x v="7"/>
    </i>
    <i r="1">
      <x/>
    </i>
    <i r="2">
      <x/>
    </i>
    <i r="2">
      <x v="2"/>
    </i>
    <i r="1">
      <x v="1"/>
    </i>
    <i r="2">
      <x v="1"/>
    </i>
    <i r="1">
      <x v="2"/>
    </i>
    <i r="2">
      <x/>
    </i>
    <i r="2">
      <x v="1"/>
    </i>
    <i r="2">
      <x v="2"/>
    </i>
    <i r="1">
      <x v="3"/>
    </i>
    <i r="2">
      <x v="2"/>
    </i>
    <i>
      <x v="8"/>
    </i>
    <i r="1">
      <x/>
    </i>
    <i r="2">
      <x/>
    </i>
    <i r="2">
      <x v="1"/>
    </i>
    <i r="1">
      <x v="1"/>
    </i>
    <i r="2">
      <x/>
    </i>
    <i r="2">
      <x v="2"/>
    </i>
    <i r="1">
      <x v="2"/>
    </i>
    <i r="2">
      <x/>
    </i>
    <i r="2">
      <x v="2"/>
    </i>
    <i r="1">
      <x v="3"/>
    </i>
    <i r="2">
      <x v="2"/>
    </i>
    <i>
      <x v="9"/>
    </i>
    <i r="1">
      <x/>
    </i>
    <i r="2">
      <x v="2"/>
    </i>
    <i r="1">
      <x v="2"/>
    </i>
    <i r="2">
      <x v="2"/>
    </i>
    <i r="1">
      <x v="3"/>
    </i>
    <i r="2">
      <x v="1"/>
    </i>
    <i r="2">
      <x v="2"/>
    </i>
    <i t="grand">
      <x/>
    </i>
  </rowItems>
  <colItems count="1">
    <i/>
  </colItems>
  <dataFields count="1">
    <dataField name="Sum of Total Sales" fld="9" baseField="0" baseItem="0"/>
  </dataField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885E58-8CFE-4878-BB4C-5812CC749284}" name="PivotTable9"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15">
    <pivotField showAll="0"/>
    <pivotField numFmtId="1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axis="axisRow" showAll="0">
      <items count="5">
        <item x="1"/>
        <item x="3"/>
        <item x="0"/>
        <item x="2"/>
        <item t="default"/>
      </items>
    </pivotField>
    <pivotField showAll="0"/>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3"/>
  </rowFields>
  <rowItems count="5">
    <i>
      <x/>
    </i>
    <i>
      <x v="1"/>
    </i>
    <i>
      <x v="2"/>
    </i>
    <i>
      <x v="3"/>
    </i>
    <i t="grand">
      <x/>
    </i>
  </rowItems>
  <colItems count="1">
    <i/>
  </colItems>
  <dataFields count="1">
    <dataField name="Sum of Total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A6E268-6D58-46E5-889D-AA3A7013D9E1}" name="PivotTable8"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16" firstHeaderRow="1" firstDataRow="1" firstDataCol="1"/>
  <pivotFields count="2">
    <pivotField axis="axisRow" showAll="0">
      <items count="15">
        <item x="0"/>
        <item x="1"/>
        <item x="2"/>
        <item x="3"/>
        <item x="4"/>
        <item x="5"/>
        <item x="6"/>
        <item x="7"/>
        <item x="8"/>
        <item x="9"/>
        <item x="10"/>
        <item x="11"/>
        <item x="12"/>
        <item x="13"/>
        <item t="default"/>
      </items>
    </pivotField>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Sum of Sum of Total Sales" fld="1" baseField="0" baseItem="0"/>
  </dataFields>
  <chartFormats count="1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2"/>
          </reference>
        </references>
      </pivotArea>
    </chartFormat>
    <chartFormat chart="0" format="4" series="1">
      <pivotArea type="data" outline="0" fieldPosition="0">
        <references count="2">
          <reference field="4294967294" count="1" selected="0">
            <x v="0"/>
          </reference>
          <reference field="0" count="1" selected="0">
            <x v="3"/>
          </reference>
        </references>
      </pivotArea>
    </chartFormat>
    <chartFormat chart="0" format="5" series="1">
      <pivotArea type="data" outline="0" fieldPosition="0">
        <references count="2">
          <reference field="4294967294" count="1" selected="0">
            <x v="0"/>
          </reference>
          <reference field="0" count="1" selected="0">
            <x v="4"/>
          </reference>
        </references>
      </pivotArea>
    </chartFormat>
    <chartFormat chart="0" format="6" series="1">
      <pivotArea type="data" outline="0" fieldPosition="0">
        <references count="2">
          <reference field="4294967294" count="1" selected="0">
            <x v="0"/>
          </reference>
          <reference field="0" count="1" selected="0">
            <x v="5"/>
          </reference>
        </references>
      </pivotArea>
    </chartFormat>
    <chartFormat chart="0" format="7" series="1">
      <pivotArea type="data" outline="0" fieldPosition="0">
        <references count="2">
          <reference field="4294967294" count="1" selected="0">
            <x v="0"/>
          </reference>
          <reference field="0" count="1" selected="0">
            <x v="6"/>
          </reference>
        </references>
      </pivotArea>
    </chartFormat>
    <chartFormat chart="0" format="8" series="1">
      <pivotArea type="data" outline="0" fieldPosition="0">
        <references count="2">
          <reference field="4294967294" count="1" selected="0">
            <x v="0"/>
          </reference>
          <reference field="0" count="1" selected="0">
            <x v="7"/>
          </reference>
        </references>
      </pivotArea>
    </chartFormat>
    <chartFormat chart="0" format="9" series="1">
      <pivotArea type="data" outline="0" fieldPosition="0">
        <references count="2">
          <reference field="4294967294" count="1" selected="0">
            <x v="0"/>
          </reference>
          <reference field="0" count="1" selected="0">
            <x v="8"/>
          </reference>
        </references>
      </pivotArea>
    </chartFormat>
    <chartFormat chart="0" format="10" series="1">
      <pivotArea type="data" outline="0" fieldPosition="0">
        <references count="2">
          <reference field="4294967294" count="1" selected="0">
            <x v="0"/>
          </reference>
          <reference field="0" count="1" selected="0">
            <x v="9"/>
          </reference>
        </references>
      </pivotArea>
    </chartFormat>
    <chartFormat chart="0" format="11" series="1">
      <pivotArea type="data" outline="0" fieldPosition="0">
        <references count="2">
          <reference field="4294967294" count="1" selected="0">
            <x v="0"/>
          </reference>
          <reference field="0" count="1" selected="0">
            <x v="10"/>
          </reference>
        </references>
      </pivotArea>
    </chartFormat>
    <chartFormat chart="0" format="12" series="1">
      <pivotArea type="data" outline="0" fieldPosition="0">
        <references count="2">
          <reference field="4294967294" count="1" selected="0">
            <x v="0"/>
          </reference>
          <reference field="0" count="1" selected="0">
            <x v="11"/>
          </reference>
        </references>
      </pivotArea>
    </chartFormat>
    <chartFormat chart="0" format="13" series="1">
      <pivotArea type="data" outline="0" fieldPosition="0">
        <references count="2">
          <reference field="4294967294" count="1" selected="0">
            <x v="0"/>
          </reference>
          <reference field="0" count="1" selected="0">
            <x v="12"/>
          </reference>
        </references>
      </pivotArea>
    </chartFormat>
    <chartFormat chart="0" format="14" series="1">
      <pivotArea type="data" outline="0" fieldPosition="0">
        <references count="2">
          <reference field="4294967294" count="1" selected="0">
            <x v="0"/>
          </reference>
          <reference field="0" count="1" selected="0">
            <x v="13"/>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F70F61-6B7E-48F4-A7EA-F67F9537D029}" sourceName="Region">
  <pivotTables>
    <pivotTable tabId="4" name="PivotTable5"/>
    <pivotTable tabId="5" name="PivotTable6"/>
    <pivotTable tabId="5" name="PivotTable7"/>
  </pivotTables>
  <data>
    <tabular pivotCacheId="777579821">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25C955-3FFD-4462-BCB1-4B637E86EBF2}" sourceName="Category">
  <pivotTables>
    <pivotTable tabId="4" name="PivotTable5"/>
    <pivotTable tabId="5" name="PivotTable6"/>
    <pivotTable tabId="5" name="PivotTable7"/>
  </pivotTables>
  <data>
    <tabular pivotCacheId="77757982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667EA3A-0E2F-48DF-8C58-86A3FD4C9012}" cache="Slicer_Region" caption="Region" style="SlicerStyleDark6" rowHeight="241300"/>
  <slicer name="Category" xr10:uid="{22EA8871-79F9-4595-9C84-913C25B2A046}" cache="Slicer_Category" caption="Category" style="SlicerStyleDark6" rowHeight="241300"/>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5D5F43E-8300-4D2E-8DF6-C9135F4D4BDF}" sourceName="Order Date">
  <pivotTables>
    <pivotTable tabId="4" name="PivotTable5"/>
    <pivotTable tabId="5" name="PivotTable6"/>
    <pivotTable tabId="5" name="PivotTable7"/>
  </pivotTables>
  <state minimalRefreshVersion="6" lastRefreshVersion="6" pivotCacheId="77757982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C90742F-F7C5-499A-9ABE-B4E7834C6244}" cache="NativeTimeline_Order_Date" caption="Order Date" level="2" selectionLevel="2" scrollPosition="2023-02-12T00:00:00" style="TimeSlicerStyleDark6"/>
</timeline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opLeftCell="A80" workbookViewId="0">
      <selection activeCell="D15" sqref="D15"/>
    </sheetView>
  </sheetViews>
  <sheetFormatPr defaultColWidth="9.140625" defaultRowHeight="15"/>
  <cols>
    <col min="1" max="1" width="10.140625" customWidth="1"/>
    <col min="2" max="2" width="11.42578125" customWidth="1"/>
    <col min="3" max="3" width="16.5703125" customWidth="1"/>
    <col min="4" max="4" width="7.7109375" customWidth="1"/>
    <col min="5" max="5" width="15.5703125" customWidth="1"/>
    <col min="6" max="6" width="13.85546875" customWidth="1"/>
    <col min="7" max="7" width="9.28515625" customWidth="1"/>
    <col min="8" max="8" width="10.28515625" customWidth="1"/>
    <col min="9" max="9" width="9.28515625" customWidth="1"/>
    <col min="10" max="10" width="11.140625" customWidth="1"/>
    <col min="11" max="11" width="8.5703125" customWidth="1"/>
    <col min="12" max="12" width="15.7109375" customWidth="1"/>
  </cols>
  <sheetData>
    <row r="1" spans="1:13">
      <c r="A1" s="1" t="s">
        <v>0</v>
      </c>
      <c r="B1" s="2" t="s">
        <v>1</v>
      </c>
      <c r="C1" s="1" t="s">
        <v>2</v>
      </c>
      <c r="D1" s="1" t="s">
        <v>3</v>
      </c>
      <c r="E1" s="1" t="s">
        <v>4</v>
      </c>
      <c r="F1" s="1" t="s">
        <v>5</v>
      </c>
      <c r="G1" s="1" t="s">
        <v>6</v>
      </c>
      <c r="H1" s="1" t="s">
        <v>7</v>
      </c>
      <c r="I1" s="1" t="s">
        <v>8</v>
      </c>
      <c r="J1" s="1" t="s">
        <v>9</v>
      </c>
      <c r="K1" s="1" t="s">
        <v>10</v>
      </c>
      <c r="L1" s="1" t="s">
        <v>11</v>
      </c>
      <c r="M1" s="8" t="s">
        <v>146</v>
      </c>
    </row>
    <row r="2" spans="1:13">
      <c r="A2" s="3" t="s">
        <v>12</v>
      </c>
      <c r="B2" s="4">
        <v>45029</v>
      </c>
      <c r="C2" s="3" t="s">
        <v>13</v>
      </c>
      <c r="D2" s="3" t="s">
        <v>14</v>
      </c>
      <c r="E2" s="3" t="s">
        <v>15</v>
      </c>
      <c r="F2" s="3" t="s">
        <v>16</v>
      </c>
      <c r="G2" s="3">
        <v>3</v>
      </c>
      <c r="H2" s="3">
        <v>1443.03</v>
      </c>
      <c r="I2" s="3">
        <v>0.1</v>
      </c>
      <c r="J2" s="3">
        <v>3896.18</v>
      </c>
      <c r="K2" s="3">
        <v>964.48</v>
      </c>
      <c r="L2" s="3" t="s">
        <v>17</v>
      </c>
      <c r="M2" s="9">
        <v>200</v>
      </c>
    </row>
    <row r="3" spans="1:13">
      <c r="A3" s="3" t="s">
        <v>18</v>
      </c>
      <c r="B3" s="4">
        <v>45275</v>
      </c>
      <c r="C3" s="3" t="s">
        <v>19</v>
      </c>
      <c r="D3" s="3" t="s">
        <v>20</v>
      </c>
      <c r="E3" s="3" t="s">
        <v>21</v>
      </c>
      <c r="F3" s="3" t="s">
        <v>22</v>
      </c>
      <c r="G3" s="3">
        <v>7</v>
      </c>
      <c r="H3" s="3">
        <v>1715.07</v>
      </c>
      <c r="I3" s="3">
        <v>0.15</v>
      </c>
      <c r="J3" s="3">
        <v>10204.69</v>
      </c>
      <c r="K3" s="3">
        <v>1354.41</v>
      </c>
      <c r="L3" s="3" t="s">
        <v>23</v>
      </c>
      <c r="M3" s="9">
        <v>250</v>
      </c>
    </row>
    <row r="4" spans="1:13">
      <c r="A4" s="3" t="s">
        <v>24</v>
      </c>
      <c r="B4" s="4">
        <v>45197</v>
      </c>
      <c r="C4" s="3" t="s">
        <v>13</v>
      </c>
      <c r="D4" s="3" t="s">
        <v>20</v>
      </c>
      <c r="E4" s="3" t="s">
        <v>25</v>
      </c>
      <c r="F4" s="3" t="s">
        <v>26</v>
      </c>
      <c r="G4" s="3">
        <v>8</v>
      </c>
      <c r="H4" s="3">
        <v>621.97</v>
      </c>
      <c r="I4" s="3">
        <v>0.1</v>
      </c>
      <c r="J4" s="3">
        <v>4478.1899999999996</v>
      </c>
      <c r="K4" s="3">
        <v>752.58</v>
      </c>
      <c r="L4" s="3" t="s">
        <v>23</v>
      </c>
      <c r="M4" s="9">
        <v>300</v>
      </c>
    </row>
    <row r="5" spans="1:13">
      <c r="A5" s="3" t="s">
        <v>27</v>
      </c>
      <c r="B5" s="4">
        <v>45033</v>
      </c>
      <c r="C5" s="3" t="s">
        <v>28</v>
      </c>
      <c r="D5" s="3" t="s">
        <v>14</v>
      </c>
      <c r="E5" s="3" t="s">
        <v>15</v>
      </c>
      <c r="F5" s="3" t="s">
        <v>29</v>
      </c>
      <c r="G5" s="3">
        <v>5</v>
      </c>
      <c r="H5" s="3">
        <v>1166.43</v>
      </c>
      <c r="I5" s="3">
        <v>0.1</v>
      </c>
      <c r="J5" s="3">
        <v>5248.92</v>
      </c>
      <c r="K5" s="3">
        <v>948.39</v>
      </c>
      <c r="L5" s="3" t="s">
        <v>30</v>
      </c>
      <c r="M5" s="9">
        <v>350</v>
      </c>
    </row>
    <row r="6" spans="1:13">
      <c r="A6" s="3" t="s">
        <v>31</v>
      </c>
      <c r="B6" s="4">
        <v>44998</v>
      </c>
      <c r="C6" s="3" t="s">
        <v>13</v>
      </c>
      <c r="D6" s="3" t="s">
        <v>20</v>
      </c>
      <c r="E6" s="3" t="s">
        <v>25</v>
      </c>
      <c r="F6" s="3" t="s">
        <v>26</v>
      </c>
      <c r="G6" s="3">
        <v>7</v>
      </c>
      <c r="H6" s="3">
        <v>1003.2</v>
      </c>
      <c r="I6" s="3">
        <v>0.2</v>
      </c>
      <c r="J6" s="3">
        <v>5617.94</v>
      </c>
      <c r="K6" s="3">
        <v>995.18</v>
      </c>
      <c r="L6" s="3" t="s">
        <v>17</v>
      </c>
      <c r="M6" s="9">
        <v>400</v>
      </c>
    </row>
    <row r="7" spans="1:13">
      <c r="A7" s="3" t="s">
        <v>32</v>
      </c>
      <c r="B7" s="4">
        <v>45115</v>
      </c>
      <c r="C7" s="3" t="s">
        <v>33</v>
      </c>
      <c r="D7" s="3" t="s">
        <v>14</v>
      </c>
      <c r="E7" s="3" t="s">
        <v>25</v>
      </c>
      <c r="F7" s="3" t="s">
        <v>26</v>
      </c>
      <c r="G7" s="3">
        <v>4</v>
      </c>
      <c r="H7" s="3">
        <v>1891.42</v>
      </c>
      <c r="I7" s="3">
        <v>0.1</v>
      </c>
      <c r="J7" s="3">
        <v>6809.12</v>
      </c>
      <c r="K7" s="3">
        <v>1523.17</v>
      </c>
      <c r="L7" s="3" t="s">
        <v>34</v>
      </c>
      <c r="M7" s="9">
        <v>450</v>
      </c>
    </row>
    <row r="8" spans="1:13">
      <c r="A8" s="3" t="s">
        <v>35</v>
      </c>
      <c r="B8" s="4">
        <v>44947</v>
      </c>
      <c r="C8" s="3" t="s">
        <v>36</v>
      </c>
      <c r="D8" s="3" t="s">
        <v>14</v>
      </c>
      <c r="E8" s="3" t="s">
        <v>21</v>
      </c>
      <c r="F8" s="3" t="s">
        <v>22</v>
      </c>
      <c r="G8" s="3">
        <v>5</v>
      </c>
      <c r="H8" s="3">
        <v>1755.78</v>
      </c>
      <c r="I8" s="3">
        <v>0.15</v>
      </c>
      <c r="J8" s="3">
        <v>7462.04</v>
      </c>
      <c r="K8" s="3">
        <v>780.61</v>
      </c>
      <c r="L8" s="3" t="s">
        <v>23</v>
      </c>
      <c r="M8" s="9">
        <v>500</v>
      </c>
    </row>
    <row r="9" spans="1:13">
      <c r="A9" s="3" t="s">
        <v>37</v>
      </c>
      <c r="B9" s="4">
        <v>45029</v>
      </c>
      <c r="C9" s="3" t="s">
        <v>38</v>
      </c>
      <c r="D9" s="3" t="s">
        <v>39</v>
      </c>
      <c r="E9" s="3" t="s">
        <v>15</v>
      </c>
      <c r="F9" s="3" t="s">
        <v>40</v>
      </c>
      <c r="G9" s="3">
        <v>7</v>
      </c>
      <c r="H9" s="3">
        <v>1802.57</v>
      </c>
      <c r="I9" s="3">
        <v>0</v>
      </c>
      <c r="J9" s="3">
        <v>12618.01</v>
      </c>
      <c r="K9" s="3">
        <v>1489.34</v>
      </c>
      <c r="L9" s="3" t="s">
        <v>34</v>
      </c>
      <c r="M9" s="9">
        <v>550</v>
      </c>
    </row>
    <row r="10" spans="1:13">
      <c r="A10" s="3" t="s">
        <v>41</v>
      </c>
      <c r="B10" s="4">
        <v>45048</v>
      </c>
      <c r="C10" s="3" t="s">
        <v>13</v>
      </c>
      <c r="D10" s="3" t="s">
        <v>42</v>
      </c>
      <c r="E10" s="3" t="s">
        <v>25</v>
      </c>
      <c r="F10" s="3" t="s">
        <v>26</v>
      </c>
      <c r="G10" s="3">
        <v>7</v>
      </c>
      <c r="H10" s="3">
        <v>412.85</v>
      </c>
      <c r="I10" s="3">
        <v>0.1</v>
      </c>
      <c r="J10" s="3">
        <v>2600.9299999999998</v>
      </c>
      <c r="K10" s="3">
        <v>401.46</v>
      </c>
      <c r="L10" s="3" t="s">
        <v>17</v>
      </c>
      <c r="M10" s="9">
        <v>600</v>
      </c>
    </row>
    <row r="11" spans="1:13">
      <c r="A11" s="3" t="s">
        <v>43</v>
      </c>
      <c r="B11" s="4">
        <v>45141</v>
      </c>
      <c r="C11" s="3" t="s">
        <v>44</v>
      </c>
      <c r="D11" s="3" t="s">
        <v>14</v>
      </c>
      <c r="E11" s="3" t="s">
        <v>21</v>
      </c>
      <c r="F11" s="3" t="s">
        <v>45</v>
      </c>
      <c r="G11" s="3">
        <v>6</v>
      </c>
      <c r="H11" s="3">
        <v>515.65</v>
      </c>
      <c r="I11" s="3">
        <v>0</v>
      </c>
      <c r="J11" s="3">
        <v>3093.91</v>
      </c>
      <c r="K11" s="3">
        <v>467.05</v>
      </c>
      <c r="L11" s="3" t="s">
        <v>30</v>
      </c>
      <c r="M11" s="9">
        <v>650</v>
      </c>
    </row>
    <row r="12" spans="1:13">
      <c r="A12" s="3" t="s">
        <v>46</v>
      </c>
      <c r="B12" s="4">
        <v>45257</v>
      </c>
      <c r="C12" s="3" t="s">
        <v>44</v>
      </c>
      <c r="D12" s="3" t="s">
        <v>20</v>
      </c>
      <c r="E12" s="3" t="s">
        <v>21</v>
      </c>
      <c r="F12" s="3" t="s">
        <v>45</v>
      </c>
      <c r="G12" s="3">
        <v>2</v>
      </c>
      <c r="H12" s="3">
        <v>1453.31</v>
      </c>
      <c r="I12" s="3">
        <v>0.2</v>
      </c>
      <c r="J12" s="3">
        <v>2325.3000000000002</v>
      </c>
      <c r="K12" s="3">
        <v>281.85000000000002</v>
      </c>
      <c r="L12" s="3" t="s">
        <v>34</v>
      </c>
      <c r="M12" s="9">
        <v>700</v>
      </c>
    </row>
    <row r="13" spans="1:13">
      <c r="A13" s="3" t="s">
        <v>47</v>
      </c>
      <c r="B13" s="4">
        <v>45014</v>
      </c>
      <c r="C13" s="3" t="s">
        <v>33</v>
      </c>
      <c r="D13" s="3" t="s">
        <v>42</v>
      </c>
      <c r="E13" s="3" t="s">
        <v>21</v>
      </c>
      <c r="F13" s="3" t="s">
        <v>48</v>
      </c>
      <c r="G13" s="3">
        <v>6</v>
      </c>
      <c r="H13" s="3">
        <v>162.80000000000001</v>
      </c>
      <c r="I13" s="3">
        <v>0</v>
      </c>
      <c r="J13" s="3">
        <v>976.78</v>
      </c>
      <c r="K13" s="3">
        <v>203.74</v>
      </c>
      <c r="L13" s="3" t="s">
        <v>30</v>
      </c>
      <c r="M13" s="9">
        <v>750</v>
      </c>
    </row>
    <row r="14" spans="1:13">
      <c r="A14" s="3" t="s">
        <v>49</v>
      </c>
      <c r="B14" s="4">
        <v>45026</v>
      </c>
      <c r="C14" s="3" t="s">
        <v>44</v>
      </c>
      <c r="D14" s="3" t="s">
        <v>20</v>
      </c>
      <c r="E14" s="3" t="s">
        <v>21</v>
      </c>
      <c r="F14" s="3" t="s">
        <v>48</v>
      </c>
      <c r="G14" s="3">
        <v>7</v>
      </c>
      <c r="H14" s="3">
        <v>1377.06</v>
      </c>
      <c r="I14" s="3">
        <v>0.1</v>
      </c>
      <c r="J14" s="3">
        <v>8675.4599999999991</v>
      </c>
      <c r="K14" s="3">
        <v>1235.5</v>
      </c>
      <c r="L14" s="3" t="s">
        <v>23</v>
      </c>
      <c r="M14" s="9">
        <v>800</v>
      </c>
    </row>
    <row r="15" spans="1:13">
      <c r="A15" s="3" t="s">
        <v>50</v>
      </c>
      <c r="B15" s="4">
        <v>45286</v>
      </c>
      <c r="C15" s="3" t="s">
        <v>51</v>
      </c>
      <c r="D15" s="3" t="s">
        <v>39</v>
      </c>
      <c r="E15" s="3" t="s">
        <v>25</v>
      </c>
      <c r="F15" s="3" t="s">
        <v>52</v>
      </c>
      <c r="G15" s="3">
        <v>6</v>
      </c>
      <c r="H15" s="3">
        <v>857.77</v>
      </c>
      <c r="I15" s="3">
        <v>0</v>
      </c>
      <c r="J15" s="3">
        <v>5146.6000000000004</v>
      </c>
      <c r="K15" s="3">
        <v>451.25</v>
      </c>
      <c r="L15" s="3" t="s">
        <v>34</v>
      </c>
      <c r="M15" s="9">
        <v>850</v>
      </c>
    </row>
    <row r="16" spans="1:13">
      <c r="A16" s="3" t="s">
        <v>53</v>
      </c>
      <c r="B16" s="4">
        <v>45078</v>
      </c>
      <c r="C16" s="3" t="s">
        <v>36</v>
      </c>
      <c r="D16" s="3" t="s">
        <v>39</v>
      </c>
      <c r="E16" s="3" t="s">
        <v>15</v>
      </c>
      <c r="F16" s="3" t="s">
        <v>16</v>
      </c>
      <c r="G16" s="3">
        <v>4</v>
      </c>
      <c r="H16" s="3">
        <v>131.52000000000001</v>
      </c>
      <c r="I16" s="3">
        <v>0.1</v>
      </c>
      <c r="J16" s="3">
        <v>473.46</v>
      </c>
      <c r="K16" s="3">
        <v>119.49</v>
      </c>
      <c r="L16" s="3" t="s">
        <v>17</v>
      </c>
      <c r="M16" s="9">
        <v>900</v>
      </c>
    </row>
    <row r="17" spans="1:13">
      <c r="A17" s="3" t="s">
        <v>54</v>
      </c>
      <c r="B17" s="4">
        <v>45057</v>
      </c>
      <c r="C17" s="3" t="s">
        <v>38</v>
      </c>
      <c r="D17" s="3" t="s">
        <v>42</v>
      </c>
      <c r="E17" s="3" t="s">
        <v>25</v>
      </c>
      <c r="F17" s="3" t="s">
        <v>55</v>
      </c>
      <c r="G17" s="3">
        <v>8</v>
      </c>
      <c r="H17" s="3">
        <v>834.8</v>
      </c>
      <c r="I17" s="3">
        <v>0.05</v>
      </c>
      <c r="J17" s="3">
        <v>6344.46</v>
      </c>
      <c r="K17" s="3">
        <v>1645.93</v>
      </c>
      <c r="L17" s="3" t="s">
        <v>23</v>
      </c>
      <c r="M17" s="9">
        <v>950</v>
      </c>
    </row>
    <row r="18" spans="1:13">
      <c r="A18" s="3" t="s">
        <v>56</v>
      </c>
      <c r="B18" s="4">
        <v>45076</v>
      </c>
      <c r="C18" s="3" t="s">
        <v>36</v>
      </c>
      <c r="D18" s="3" t="s">
        <v>39</v>
      </c>
      <c r="E18" s="3" t="s">
        <v>15</v>
      </c>
      <c r="F18" s="3" t="s">
        <v>16</v>
      </c>
      <c r="G18" s="3">
        <v>3</v>
      </c>
      <c r="H18" s="3">
        <v>534.25</v>
      </c>
      <c r="I18" s="3">
        <v>0.05</v>
      </c>
      <c r="J18" s="3">
        <v>1522.6</v>
      </c>
      <c r="K18" s="3">
        <v>449.99</v>
      </c>
      <c r="L18" s="3" t="s">
        <v>34</v>
      </c>
      <c r="M18" s="9">
        <v>1000</v>
      </c>
    </row>
    <row r="19" spans="1:13">
      <c r="A19" s="3" t="s">
        <v>57</v>
      </c>
      <c r="B19" s="4">
        <v>45235</v>
      </c>
      <c r="C19" s="3" t="s">
        <v>38</v>
      </c>
      <c r="D19" s="3" t="s">
        <v>20</v>
      </c>
      <c r="E19" s="3" t="s">
        <v>21</v>
      </c>
      <c r="F19" s="3" t="s">
        <v>22</v>
      </c>
      <c r="G19" s="3">
        <v>5</v>
      </c>
      <c r="H19" s="3">
        <v>1810.79</v>
      </c>
      <c r="I19" s="3">
        <v>0.1</v>
      </c>
      <c r="J19" s="3">
        <v>8148.57</v>
      </c>
      <c r="K19" s="3">
        <v>791.85</v>
      </c>
      <c r="L19" s="3" t="s">
        <v>17</v>
      </c>
      <c r="M19" s="9">
        <v>1050</v>
      </c>
    </row>
    <row r="20" spans="1:13">
      <c r="A20" s="3" t="s">
        <v>58</v>
      </c>
      <c r="B20" s="4">
        <v>45184</v>
      </c>
      <c r="C20" s="3" t="s">
        <v>59</v>
      </c>
      <c r="D20" s="3" t="s">
        <v>39</v>
      </c>
      <c r="E20" s="3" t="s">
        <v>15</v>
      </c>
      <c r="F20" s="3" t="s">
        <v>40</v>
      </c>
      <c r="G20" s="3">
        <v>8</v>
      </c>
      <c r="H20" s="3">
        <v>1786.76</v>
      </c>
      <c r="I20" s="3">
        <v>0.15</v>
      </c>
      <c r="J20" s="3">
        <v>12149.99</v>
      </c>
      <c r="K20" s="3">
        <v>863.07</v>
      </c>
      <c r="L20" s="3" t="s">
        <v>23</v>
      </c>
      <c r="M20" s="9">
        <v>1100</v>
      </c>
    </row>
    <row r="21" spans="1:13">
      <c r="A21" s="3" t="s">
        <v>60</v>
      </c>
      <c r="B21" s="4">
        <v>45270</v>
      </c>
      <c r="C21" s="3" t="s">
        <v>33</v>
      </c>
      <c r="D21" s="3" t="s">
        <v>14</v>
      </c>
      <c r="E21" s="3" t="s">
        <v>21</v>
      </c>
      <c r="F21" s="3" t="s">
        <v>45</v>
      </c>
      <c r="G21" s="3">
        <v>9</v>
      </c>
      <c r="H21" s="3">
        <v>1360.65</v>
      </c>
      <c r="I21" s="3">
        <v>0.2</v>
      </c>
      <c r="J21" s="3">
        <v>9796.7000000000007</v>
      </c>
      <c r="K21" s="3">
        <v>1185.21</v>
      </c>
      <c r="L21" s="3" t="s">
        <v>23</v>
      </c>
      <c r="M21" s="9">
        <v>1150</v>
      </c>
    </row>
    <row r="22" spans="1:13">
      <c r="A22" s="3" t="s">
        <v>61</v>
      </c>
      <c r="B22" s="4">
        <v>45220</v>
      </c>
      <c r="C22" s="3" t="s">
        <v>13</v>
      </c>
      <c r="D22" s="3" t="s">
        <v>39</v>
      </c>
      <c r="E22" s="3" t="s">
        <v>15</v>
      </c>
      <c r="F22" s="3" t="s">
        <v>29</v>
      </c>
      <c r="G22" s="3">
        <v>9</v>
      </c>
      <c r="H22" s="3">
        <v>434.26</v>
      </c>
      <c r="I22" s="3">
        <v>0.15</v>
      </c>
      <c r="J22" s="3">
        <v>3322.07</v>
      </c>
      <c r="K22" s="3">
        <v>363.14</v>
      </c>
      <c r="L22" s="3" t="s">
        <v>30</v>
      </c>
      <c r="M22" s="9">
        <v>1200</v>
      </c>
    </row>
    <row r="23" spans="1:13">
      <c r="A23" s="3" t="s">
        <v>62</v>
      </c>
      <c r="B23" s="4">
        <v>45118</v>
      </c>
      <c r="C23" s="3" t="s">
        <v>51</v>
      </c>
      <c r="D23" s="3" t="s">
        <v>20</v>
      </c>
      <c r="E23" s="3" t="s">
        <v>15</v>
      </c>
      <c r="F23" s="3" t="s">
        <v>16</v>
      </c>
      <c r="G23" s="3">
        <v>1</v>
      </c>
      <c r="H23" s="3">
        <v>685.32</v>
      </c>
      <c r="I23" s="3">
        <v>0.15</v>
      </c>
      <c r="J23" s="3">
        <v>582.52</v>
      </c>
      <c r="K23" s="3">
        <v>103.22</v>
      </c>
      <c r="L23" s="3" t="s">
        <v>23</v>
      </c>
      <c r="M23" s="9">
        <v>1250</v>
      </c>
    </row>
    <row r="24" spans="1:13">
      <c r="A24" s="3" t="s">
        <v>63</v>
      </c>
      <c r="B24" s="4">
        <v>45203</v>
      </c>
      <c r="C24" s="3" t="s">
        <v>33</v>
      </c>
      <c r="D24" s="3" t="s">
        <v>42</v>
      </c>
      <c r="E24" s="3" t="s">
        <v>21</v>
      </c>
      <c r="F24" s="3" t="s">
        <v>48</v>
      </c>
      <c r="G24" s="3">
        <v>6</v>
      </c>
      <c r="H24" s="3">
        <v>1959.9</v>
      </c>
      <c r="I24" s="3">
        <v>0.1</v>
      </c>
      <c r="J24" s="3">
        <v>10583.44</v>
      </c>
      <c r="K24" s="3">
        <v>2889.4</v>
      </c>
      <c r="L24" s="3" t="s">
        <v>23</v>
      </c>
      <c r="M24" s="9">
        <v>1300</v>
      </c>
    </row>
    <row r="25" spans="1:13">
      <c r="A25" s="3" t="s">
        <v>64</v>
      </c>
      <c r="B25" s="4">
        <v>45087</v>
      </c>
      <c r="C25" s="3" t="s">
        <v>36</v>
      </c>
      <c r="D25" s="3" t="s">
        <v>20</v>
      </c>
      <c r="E25" s="3" t="s">
        <v>25</v>
      </c>
      <c r="F25" s="3" t="s">
        <v>26</v>
      </c>
      <c r="G25" s="3">
        <v>1</v>
      </c>
      <c r="H25" s="3">
        <v>470.96</v>
      </c>
      <c r="I25" s="3">
        <v>0.2</v>
      </c>
      <c r="J25" s="3">
        <v>376.77</v>
      </c>
      <c r="K25" s="3">
        <v>65.86</v>
      </c>
      <c r="L25" s="3" t="s">
        <v>30</v>
      </c>
      <c r="M25" s="9">
        <v>1350</v>
      </c>
    </row>
    <row r="26" spans="1:13">
      <c r="A26" s="3" t="s">
        <v>65</v>
      </c>
      <c r="B26" s="4">
        <v>45240</v>
      </c>
      <c r="C26" s="3" t="s">
        <v>59</v>
      </c>
      <c r="D26" s="3" t="s">
        <v>42</v>
      </c>
      <c r="E26" s="3" t="s">
        <v>25</v>
      </c>
      <c r="F26" s="3" t="s">
        <v>55</v>
      </c>
      <c r="G26" s="3">
        <v>5</v>
      </c>
      <c r="H26" s="3">
        <v>1778.64</v>
      </c>
      <c r="I26" s="3">
        <v>0.15</v>
      </c>
      <c r="J26" s="3">
        <v>7559.21</v>
      </c>
      <c r="K26" s="3">
        <v>407.17</v>
      </c>
      <c r="L26" s="3" t="s">
        <v>34</v>
      </c>
      <c r="M26" s="9">
        <v>1400</v>
      </c>
    </row>
    <row r="27" spans="1:13">
      <c r="A27" s="3" t="s">
        <v>66</v>
      </c>
      <c r="B27" s="4">
        <v>44948</v>
      </c>
      <c r="C27" s="3" t="s">
        <v>13</v>
      </c>
      <c r="D27" s="3" t="s">
        <v>39</v>
      </c>
      <c r="E27" s="3" t="s">
        <v>21</v>
      </c>
      <c r="F27" s="3" t="s">
        <v>22</v>
      </c>
      <c r="G27" s="3">
        <v>3</v>
      </c>
      <c r="H27" s="3">
        <v>1962.63</v>
      </c>
      <c r="I27" s="3">
        <v>0.15</v>
      </c>
      <c r="J27" s="3">
        <v>5004.71</v>
      </c>
      <c r="K27" s="3">
        <v>618.64</v>
      </c>
      <c r="L27" s="3" t="s">
        <v>17</v>
      </c>
      <c r="M27" s="9">
        <v>1450</v>
      </c>
    </row>
    <row r="28" spans="1:13">
      <c r="A28" s="3" t="s">
        <v>67</v>
      </c>
      <c r="B28" s="4">
        <v>45179</v>
      </c>
      <c r="C28" s="3" t="s">
        <v>59</v>
      </c>
      <c r="D28" s="3" t="s">
        <v>14</v>
      </c>
      <c r="E28" s="3" t="s">
        <v>25</v>
      </c>
      <c r="F28" s="3" t="s">
        <v>26</v>
      </c>
      <c r="G28" s="3">
        <v>2</v>
      </c>
      <c r="H28" s="3">
        <v>1157.92</v>
      </c>
      <c r="I28" s="3">
        <v>0.05</v>
      </c>
      <c r="J28" s="3">
        <v>2200.0500000000002</v>
      </c>
      <c r="K28" s="3">
        <v>621.52</v>
      </c>
      <c r="L28" s="3" t="s">
        <v>30</v>
      </c>
      <c r="M28" s="9">
        <v>1500</v>
      </c>
    </row>
    <row r="29" spans="1:13">
      <c r="A29" s="3" t="s">
        <v>68</v>
      </c>
      <c r="B29" s="4">
        <v>45162</v>
      </c>
      <c r="C29" s="3" t="s">
        <v>28</v>
      </c>
      <c r="D29" s="3" t="s">
        <v>42</v>
      </c>
      <c r="E29" s="3" t="s">
        <v>15</v>
      </c>
      <c r="F29" s="3" t="s">
        <v>40</v>
      </c>
      <c r="G29" s="3">
        <v>7</v>
      </c>
      <c r="H29" s="3">
        <v>366.16</v>
      </c>
      <c r="I29" s="3">
        <v>0.1</v>
      </c>
      <c r="J29" s="3">
        <v>2306.81</v>
      </c>
      <c r="K29" s="3">
        <v>285.63</v>
      </c>
      <c r="L29" s="3" t="s">
        <v>30</v>
      </c>
      <c r="M29" s="9">
        <v>1550</v>
      </c>
    </row>
    <row r="30" spans="1:13">
      <c r="A30" s="3" t="s">
        <v>69</v>
      </c>
      <c r="B30" s="4">
        <v>45271</v>
      </c>
      <c r="C30" s="3" t="s">
        <v>28</v>
      </c>
      <c r="D30" s="3" t="s">
        <v>20</v>
      </c>
      <c r="E30" s="3" t="s">
        <v>25</v>
      </c>
      <c r="F30" s="3" t="s">
        <v>55</v>
      </c>
      <c r="G30" s="3">
        <v>6</v>
      </c>
      <c r="H30" s="3">
        <v>783.03</v>
      </c>
      <c r="I30" s="3">
        <v>0.2</v>
      </c>
      <c r="J30" s="3">
        <v>3758.56</v>
      </c>
      <c r="K30" s="3">
        <v>466.54</v>
      </c>
      <c r="L30" s="3" t="s">
        <v>23</v>
      </c>
      <c r="M30" s="9">
        <v>1600</v>
      </c>
    </row>
    <row r="31" spans="1:13">
      <c r="A31" s="3" t="s">
        <v>70</v>
      </c>
      <c r="B31" s="4">
        <v>44975</v>
      </c>
      <c r="C31" s="3" t="s">
        <v>59</v>
      </c>
      <c r="D31" s="3" t="s">
        <v>39</v>
      </c>
      <c r="E31" s="3" t="s">
        <v>25</v>
      </c>
      <c r="F31" s="3" t="s">
        <v>55</v>
      </c>
      <c r="G31" s="3">
        <v>7</v>
      </c>
      <c r="H31" s="3">
        <v>1052.8800000000001</v>
      </c>
      <c r="I31" s="3">
        <v>0.2</v>
      </c>
      <c r="J31" s="3">
        <v>5896.13</v>
      </c>
      <c r="K31" s="3">
        <v>581.16999999999996</v>
      </c>
      <c r="L31" s="3" t="s">
        <v>23</v>
      </c>
      <c r="M31" s="9">
        <v>1650</v>
      </c>
    </row>
    <row r="32" spans="1:13">
      <c r="A32" s="3" t="s">
        <v>71</v>
      </c>
      <c r="B32" s="4">
        <v>44985</v>
      </c>
      <c r="C32" s="3" t="s">
        <v>19</v>
      </c>
      <c r="D32" s="3" t="s">
        <v>20</v>
      </c>
      <c r="E32" s="3" t="s">
        <v>21</v>
      </c>
      <c r="F32" s="3" t="s">
        <v>45</v>
      </c>
      <c r="G32" s="3">
        <v>7</v>
      </c>
      <c r="H32" s="3">
        <v>152.47</v>
      </c>
      <c r="I32" s="3">
        <v>0.05</v>
      </c>
      <c r="J32" s="3">
        <v>1013.94</v>
      </c>
      <c r="K32" s="3">
        <v>74.52</v>
      </c>
      <c r="L32" s="3" t="s">
        <v>23</v>
      </c>
      <c r="M32" s="9">
        <v>1700</v>
      </c>
    </row>
    <row r="33" spans="1:13">
      <c r="A33" s="3" t="s">
        <v>72</v>
      </c>
      <c r="B33" s="4">
        <v>45096</v>
      </c>
      <c r="C33" s="3" t="s">
        <v>51</v>
      </c>
      <c r="D33" s="3" t="s">
        <v>20</v>
      </c>
      <c r="E33" s="3" t="s">
        <v>15</v>
      </c>
      <c r="F33" s="3" t="s">
        <v>29</v>
      </c>
      <c r="G33" s="3">
        <v>6</v>
      </c>
      <c r="H33" s="3">
        <v>1222.58</v>
      </c>
      <c r="I33" s="3">
        <v>0</v>
      </c>
      <c r="J33" s="3">
        <v>7335.5</v>
      </c>
      <c r="K33" s="3">
        <v>435.27</v>
      </c>
      <c r="L33" s="3" t="s">
        <v>23</v>
      </c>
      <c r="M33" s="9">
        <v>1750</v>
      </c>
    </row>
    <row r="34" spans="1:13">
      <c r="A34" s="3" t="s">
        <v>73</v>
      </c>
      <c r="B34" s="4">
        <v>45114</v>
      </c>
      <c r="C34" s="3" t="s">
        <v>13</v>
      </c>
      <c r="D34" s="3" t="s">
        <v>20</v>
      </c>
      <c r="E34" s="3" t="s">
        <v>15</v>
      </c>
      <c r="F34" s="3" t="s">
        <v>29</v>
      </c>
      <c r="G34" s="3">
        <v>1</v>
      </c>
      <c r="H34" s="3">
        <v>1672.95</v>
      </c>
      <c r="I34" s="3">
        <v>0.15</v>
      </c>
      <c r="J34" s="3">
        <v>1422.01</v>
      </c>
      <c r="K34" s="3">
        <v>147.83000000000001</v>
      </c>
      <c r="L34" s="3" t="s">
        <v>30</v>
      </c>
      <c r="M34" s="9">
        <v>1800</v>
      </c>
    </row>
    <row r="35" spans="1:13">
      <c r="A35" s="3" t="s">
        <v>74</v>
      </c>
      <c r="B35" s="4">
        <v>45197</v>
      </c>
      <c r="C35" s="3" t="s">
        <v>36</v>
      </c>
      <c r="D35" s="3" t="s">
        <v>39</v>
      </c>
      <c r="E35" s="3" t="s">
        <v>21</v>
      </c>
      <c r="F35" s="3" t="s">
        <v>22</v>
      </c>
      <c r="G35" s="3">
        <v>4</v>
      </c>
      <c r="H35" s="3">
        <v>881.57</v>
      </c>
      <c r="I35" s="3">
        <v>0.1</v>
      </c>
      <c r="J35" s="3">
        <v>3173.66</v>
      </c>
      <c r="K35" s="3">
        <v>664.43</v>
      </c>
      <c r="L35" s="3" t="s">
        <v>34</v>
      </c>
      <c r="M35" s="9">
        <v>1850</v>
      </c>
    </row>
    <row r="36" spans="1:13">
      <c r="A36" s="3" t="s">
        <v>75</v>
      </c>
      <c r="B36" s="4">
        <v>45116</v>
      </c>
      <c r="C36" s="3" t="s">
        <v>19</v>
      </c>
      <c r="D36" s="3" t="s">
        <v>14</v>
      </c>
      <c r="E36" s="3" t="s">
        <v>21</v>
      </c>
      <c r="F36" s="3" t="s">
        <v>48</v>
      </c>
      <c r="G36" s="3">
        <v>3</v>
      </c>
      <c r="H36" s="3">
        <v>1610.85</v>
      </c>
      <c r="I36" s="3">
        <v>0.1</v>
      </c>
      <c r="J36" s="3">
        <v>4349.3100000000004</v>
      </c>
      <c r="K36" s="3">
        <v>694.77</v>
      </c>
      <c r="L36" s="3" t="s">
        <v>34</v>
      </c>
      <c r="M36" s="9">
        <v>1900</v>
      </c>
    </row>
    <row r="37" spans="1:13">
      <c r="A37" s="3" t="s">
        <v>76</v>
      </c>
      <c r="B37" s="4">
        <v>45101</v>
      </c>
      <c r="C37" s="3" t="s">
        <v>28</v>
      </c>
      <c r="D37" s="3" t="s">
        <v>14</v>
      </c>
      <c r="E37" s="3" t="s">
        <v>21</v>
      </c>
      <c r="F37" s="3" t="s">
        <v>22</v>
      </c>
      <c r="G37" s="3">
        <v>7</v>
      </c>
      <c r="H37" s="3">
        <v>913.8</v>
      </c>
      <c r="I37" s="3">
        <v>0.15</v>
      </c>
      <c r="J37" s="3">
        <v>5437.1</v>
      </c>
      <c r="K37" s="3">
        <v>827.73</v>
      </c>
      <c r="L37" s="3" t="s">
        <v>34</v>
      </c>
      <c r="M37" s="9">
        <v>1950</v>
      </c>
    </row>
    <row r="38" spans="1:13">
      <c r="A38" s="3" t="s">
        <v>77</v>
      </c>
      <c r="B38" s="4">
        <v>44977</v>
      </c>
      <c r="C38" s="3" t="s">
        <v>19</v>
      </c>
      <c r="D38" s="3" t="s">
        <v>39</v>
      </c>
      <c r="E38" s="3" t="s">
        <v>15</v>
      </c>
      <c r="F38" s="3" t="s">
        <v>40</v>
      </c>
      <c r="G38" s="3">
        <v>6</v>
      </c>
      <c r="H38" s="3">
        <v>1457.73</v>
      </c>
      <c r="I38" s="3">
        <v>0.2</v>
      </c>
      <c r="J38" s="3">
        <v>6997.11</v>
      </c>
      <c r="K38" s="3">
        <v>839.54</v>
      </c>
      <c r="L38" s="3" t="s">
        <v>17</v>
      </c>
      <c r="M38" s="9">
        <v>2000</v>
      </c>
    </row>
    <row r="39" spans="1:13">
      <c r="A39" s="3" t="s">
        <v>78</v>
      </c>
      <c r="B39" s="4">
        <v>45290</v>
      </c>
      <c r="C39" s="3" t="s">
        <v>13</v>
      </c>
      <c r="D39" s="3" t="s">
        <v>14</v>
      </c>
      <c r="E39" s="3" t="s">
        <v>25</v>
      </c>
      <c r="F39" s="3" t="s">
        <v>52</v>
      </c>
      <c r="G39" s="3">
        <v>7</v>
      </c>
      <c r="H39" s="3">
        <v>190.66</v>
      </c>
      <c r="I39" s="3">
        <v>0.05</v>
      </c>
      <c r="J39" s="3">
        <v>1267.8900000000001</v>
      </c>
      <c r="K39" s="3">
        <v>176.23</v>
      </c>
      <c r="L39" s="3" t="s">
        <v>34</v>
      </c>
      <c r="M39" s="9">
        <v>2050</v>
      </c>
    </row>
    <row r="40" spans="1:13">
      <c r="A40" s="3" t="s">
        <v>79</v>
      </c>
      <c r="B40" s="4">
        <v>44981</v>
      </c>
      <c r="C40" s="3" t="s">
        <v>28</v>
      </c>
      <c r="D40" s="3" t="s">
        <v>14</v>
      </c>
      <c r="E40" s="3" t="s">
        <v>25</v>
      </c>
      <c r="F40" s="3" t="s">
        <v>52</v>
      </c>
      <c r="G40" s="3">
        <v>5</v>
      </c>
      <c r="H40" s="3">
        <v>278.89999999999998</v>
      </c>
      <c r="I40" s="3">
        <v>0.15</v>
      </c>
      <c r="J40" s="3">
        <v>1185.32</v>
      </c>
      <c r="K40" s="3">
        <v>111.22</v>
      </c>
      <c r="L40" s="3" t="s">
        <v>30</v>
      </c>
      <c r="M40" s="9">
        <v>2100</v>
      </c>
    </row>
    <row r="41" spans="1:13">
      <c r="A41" s="3" t="s">
        <v>80</v>
      </c>
      <c r="B41" s="4">
        <v>45170</v>
      </c>
      <c r="C41" s="3" t="s">
        <v>28</v>
      </c>
      <c r="D41" s="3" t="s">
        <v>14</v>
      </c>
      <c r="E41" s="3" t="s">
        <v>25</v>
      </c>
      <c r="F41" s="3" t="s">
        <v>26</v>
      </c>
      <c r="G41" s="3">
        <v>4</v>
      </c>
      <c r="H41" s="3">
        <v>429.08</v>
      </c>
      <c r="I41" s="3">
        <v>0.2</v>
      </c>
      <c r="J41" s="3">
        <v>1373.07</v>
      </c>
      <c r="K41" s="3">
        <v>205.45</v>
      </c>
      <c r="L41" s="3" t="s">
        <v>34</v>
      </c>
      <c r="M41" s="9">
        <v>2150</v>
      </c>
    </row>
    <row r="42" spans="1:13">
      <c r="A42" s="3" t="s">
        <v>81</v>
      </c>
      <c r="B42" s="4">
        <v>45246</v>
      </c>
      <c r="C42" s="3" t="s">
        <v>36</v>
      </c>
      <c r="D42" s="3" t="s">
        <v>39</v>
      </c>
      <c r="E42" s="3" t="s">
        <v>21</v>
      </c>
      <c r="F42" s="3" t="s">
        <v>45</v>
      </c>
      <c r="G42" s="3">
        <v>3</v>
      </c>
      <c r="H42" s="3">
        <v>1055.96</v>
      </c>
      <c r="I42" s="3">
        <v>0</v>
      </c>
      <c r="J42" s="3">
        <v>3167.88</v>
      </c>
      <c r="K42" s="3">
        <v>585.55999999999995</v>
      </c>
      <c r="L42" s="3" t="s">
        <v>30</v>
      </c>
      <c r="M42" s="9">
        <v>2200</v>
      </c>
    </row>
    <row r="43" spans="1:13">
      <c r="A43" s="3" t="s">
        <v>82</v>
      </c>
      <c r="B43" s="4">
        <v>45057</v>
      </c>
      <c r="C43" s="3" t="s">
        <v>33</v>
      </c>
      <c r="D43" s="3" t="s">
        <v>20</v>
      </c>
      <c r="E43" s="3" t="s">
        <v>15</v>
      </c>
      <c r="F43" s="3" t="s">
        <v>40</v>
      </c>
      <c r="G43" s="3">
        <v>1</v>
      </c>
      <c r="H43" s="3">
        <v>1747.68</v>
      </c>
      <c r="I43" s="3">
        <v>0.1</v>
      </c>
      <c r="J43" s="3">
        <v>1572.91</v>
      </c>
      <c r="K43" s="3">
        <v>393.6</v>
      </c>
      <c r="L43" s="3" t="s">
        <v>30</v>
      </c>
      <c r="M43" s="9">
        <v>2250</v>
      </c>
    </row>
    <row r="44" spans="1:13">
      <c r="A44" s="3" t="s">
        <v>83</v>
      </c>
      <c r="B44" s="4">
        <v>45233</v>
      </c>
      <c r="C44" s="3" t="s">
        <v>44</v>
      </c>
      <c r="D44" s="3" t="s">
        <v>39</v>
      </c>
      <c r="E44" s="3" t="s">
        <v>25</v>
      </c>
      <c r="F44" s="3" t="s">
        <v>55</v>
      </c>
      <c r="G44" s="3">
        <v>3</v>
      </c>
      <c r="H44" s="3">
        <v>1659.22</v>
      </c>
      <c r="I44" s="3">
        <v>0.15</v>
      </c>
      <c r="J44" s="3">
        <v>4231</v>
      </c>
      <c r="K44" s="3">
        <v>619.95000000000005</v>
      </c>
      <c r="L44" s="3" t="s">
        <v>23</v>
      </c>
      <c r="M44" s="9">
        <v>2300</v>
      </c>
    </row>
    <row r="45" spans="1:13">
      <c r="A45" s="3" t="s">
        <v>84</v>
      </c>
      <c r="B45" s="4">
        <v>45061</v>
      </c>
      <c r="C45" s="3" t="s">
        <v>44</v>
      </c>
      <c r="D45" s="3" t="s">
        <v>14</v>
      </c>
      <c r="E45" s="3" t="s">
        <v>15</v>
      </c>
      <c r="F45" s="3" t="s">
        <v>29</v>
      </c>
      <c r="G45" s="3">
        <v>2</v>
      </c>
      <c r="H45" s="3">
        <v>174.03</v>
      </c>
      <c r="I45" s="3">
        <v>0.05</v>
      </c>
      <c r="J45" s="3">
        <v>330.66</v>
      </c>
      <c r="K45" s="3">
        <v>72.989999999999995</v>
      </c>
      <c r="L45" s="3" t="s">
        <v>30</v>
      </c>
      <c r="M45" s="9">
        <v>2350</v>
      </c>
    </row>
    <row r="46" spans="1:13">
      <c r="A46" s="3" t="s">
        <v>85</v>
      </c>
      <c r="B46" s="4">
        <v>44947</v>
      </c>
      <c r="C46" s="3" t="s">
        <v>33</v>
      </c>
      <c r="D46" s="3" t="s">
        <v>42</v>
      </c>
      <c r="E46" s="3" t="s">
        <v>25</v>
      </c>
      <c r="F46" s="3" t="s">
        <v>52</v>
      </c>
      <c r="G46" s="3">
        <v>2</v>
      </c>
      <c r="H46" s="3">
        <v>595.32000000000005</v>
      </c>
      <c r="I46" s="3">
        <v>0.15</v>
      </c>
      <c r="J46" s="3">
        <v>1012.04</v>
      </c>
      <c r="K46" s="3">
        <v>225.91</v>
      </c>
      <c r="L46" s="3" t="s">
        <v>17</v>
      </c>
      <c r="M46" s="9">
        <v>2400</v>
      </c>
    </row>
    <row r="47" spans="1:13">
      <c r="A47" s="3" t="s">
        <v>86</v>
      </c>
      <c r="B47" s="4">
        <v>45255</v>
      </c>
      <c r="C47" s="3" t="s">
        <v>38</v>
      </c>
      <c r="D47" s="3" t="s">
        <v>39</v>
      </c>
      <c r="E47" s="3" t="s">
        <v>25</v>
      </c>
      <c r="F47" s="3" t="s">
        <v>55</v>
      </c>
      <c r="G47" s="3">
        <v>5</v>
      </c>
      <c r="H47" s="3">
        <v>1938.4</v>
      </c>
      <c r="I47" s="3">
        <v>0.15</v>
      </c>
      <c r="J47" s="3">
        <v>8238.2099999999991</v>
      </c>
      <c r="K47" s="3">
        <v>777.36</v>
      </c>
      <c r="L47" s="3" t="s">
        <v>30</v>
      </c>
      <c r="M47" s="9">
        <v>2450</v>
      </c>
    </row>
    <row r="48" spans="1:13">
      <c r="A48" s="3" t="s">
        <v>87</v>
      </c>
      <c r="B48" s="4">
        <v>45093</v>
      </c>
      <c r="C48" s="3" t="s">
        <v>59</v>
      </c>
      <c r="D48" s="3" t="s">
        <v>20</v>
      </c>
      <c r="E48" s="3" t="s">
        <v>15</v>
      </c>
      <c r="F48" s="3" t="s">
        <v>29</v>
      </c>
      <c r="G48" s="3">
        <v>3</v>
      </c>
      <c r="H48" s="3">
        <v>883.97</v>
      </c>
      <c r="I48" s="3">
        <v>0.05</v>
      </c>
      <c r="J48" s="3">
        <v>2519.3200000000002</v>
      </c>
      <c r="K48" s="3">
        <v>283.43</v>
      </c>
      <c r="L48" s="3" t="s">
        <v>23</v>
      </c>
      <c r="M48" s="9">
        <v>2500</v>
      </c>
    </row>
    <row r="49" spans="1:13">
      <c r="A49" s="3" t="s">
        <v>88</v>
      </c>
      <c r="B49" s="4">
        <v>45200</v>
      </c>
      <c r="C49" s="3" t="s">
        <v>44</v>
      </c>
      <c r="D49" s="3" t="s">
        <v>42</v>
      </c>
      <c r="E49" s="3" t="s">
        <v>25</v>
      </c>
      <c r="F49" s="3" t="s">
        <v>55</v>
      </c>
      <c r="G49" s="3">
        <v>7</v>
      </c>
      <c r="H49" s="3">
        <v>1526.66</v>
      </c>
      <c r="I49" s="3">
        <v>0</v>
      </c>
      <c r="J49" s="3">
        <v>10686.59</v>
      </c>
      <c r="K49" s="3">
        <v>1170.81</v>
      </c>
      <c r="L49" s="3" t="s">
        <v>23</v>
      </c>
      <c r="M49" s="9">
        <v>2550</v>
      </c>
    </row>
    <row r="50" spans="1:13">
      <c r="A50" s="3" t="s">
        <v>89</v>
      </c>
      <c r="B50" s="4">
        <v>45015</v>
      </c>
      <c r="C50" s="3" t="s">
        <v>90</v>
      </c>
      <c r="D50" s="3" t="s">
        <v>39</v>
      </c>
      <c r="E50" s="3" t="s">
        <v>25</v>
      </c>
      <c r="F50" s="3" t="s">
        <v>52</v>
      </c>
      <c r="G50" s="3">
        <v>3</v>
      </c>
      <c r="H50" s="3">
        <v>839.48</v>
      </c>
      <c r="I50" s="3">
        <v>0.15</v>
      </c>
      <c r="J50" s="3">
        <v>2140.6799999999998</v>
      </c>
      <c r="K50" s="3">
        <v>620.02</v>
      </c>
      <c r="L50" s="3" t="s">
        <v>34</v>
      </c>
      <c r="M50" s="9">
        <v>2600</v>
      </c>
    </row>
    <row r="51" spans="1:13">
      <c r="A51" s="3" t="s">
        <v>91</v>
      </c>
      <c r="B51" s="4">
        <v>45242</v>
      </c>
      <c r="C51" s="3" t="s">
        <v>38</v>
      </c>
      <c r="D51" s="3" t="s">
        <v>39</v>
      </c>
      <c r="E51" s="3" t="s">
        <v>15</v>
      </c>
      <c r="F51" s="3" t="s">
        <v>40</v>
      </c>
      <c r="G51" s="3">
        <v>4</v>
      </c>
      <c r="H51" s="3">
        <v>1189.53</v>
      </c>
      <c r="I51" s="3">
        <v>0.2</v>
      </c>
      <c r="J51" s="3">
        <v>3806.5</v>
      </c>
      <c r="K51" s="3">
        <v>277.58999999999997</v>
      </c>
      <c r="L51" s="3" t="s">
        <v>17</v>
      </c>
      <c r="M51" s="9">
        <v>2650</v>
      </c>
    </row>
    <row r="52" spans="1:13">
      <c r="A52" s="3" t="s">
        <v>92</v>
      </c>
      <c r="B52" s="4">
        <v>44940</v>
      </c>
      <c r="C52" s="3" t="s">
        <v>28</v>
      </c>
      <c r="D52" s="3" t="s">
        <v>20</v>
      </c>
      <c r="E52" s="3" t="s">
        <v>25</v>
      </c>
      <c r="F52" s="3" t="s">
        <v>55</v>
      </c>
      <c r="G52" s="3">
        <v>7</v>
      </c>
      <c r="H52" s="3">
        <v>1584.46</v>
      </c>
      <c r="I52" s="3">
        <v>0.2</v>
      </c>
      <c r="J52" s="3">
        <v>8872.99</v>
      </c>
      <c r="K52" s="3">
        <v>2508.6799999999998</v>
      </c>
      <c r="L52" s="3" t="s">
        <v>23</v>
      </c>
      <c r="M52" s="9">
        <v>2700</v>
      </c>
    </row>
    <row r="53" spans="1:13">
      <c r="A53" s="3" t="s">
        <v>93</v>
      </c>
      <c r="B53" s="4">
        <v>45168</v>
      </c>
      <c r="C53" s="3" t="s">
        <v>33</v>
      </c>
      <c r="D53" s="3" t="s">
        <v>20</v>
      </c>
      <c r="E53" s="3" t="s">
        <v>15</v>
      </c>
      <c r="F53" s="3" t="s">
        <v>40</v>
      </c>
      <c r="G53" s="3">
        <v>5</v>
      </c>
      <c r="H53" s="3">
        <v>1500.37</v>
      </c>
      <c r="I53" s="3">
        <v>0.2</v>
      </c>
      <c r="J53" s="3">
        <v>6001.47</v>
      </c>
      <c r="K53" s="3">
        <v>826.58</v>
      </c>
      <c r="L53" s="3" t="s">
        <v>30</v>
      </c>
      <c r="M53" s="9">
        <v>2750</v>
      </c>
    </row>
    <row r="54" spans="1:13">
      <c r="A54" s="3" t="s">
        <v>94</v>
      </c>
      <c r="B54" s="4">
        <v>45191</v>
      </c>
      <c r="C54" s="3" t="s">
        <v>38</v>
      </c>
      <c r="D54" s="3" t="s">
        <v>14</v>
      </c>
      <c r="E54" s="3" t="s">
        <v>25</v>
      </c>
      <c r="F54" s="3" t="s">
        <v>52</v>
      </c>
      <c r="G54" s="3">
        <v>1</v>
      </c>
      <c r="H54" s="3">
        <v>292.13</v>
      </c>
      <c r="I54" s="3">
        <v>0.2</v>
      </c>
      <c r="J54" s="3">
        <v>233.71</v>
      </c>
      <c r="K54" s="3">
        <v>24.69</v>
      </c>
      <c r="L54" s="3" t="s">
        <v>17</v>
      </c>
      <c r="M54" s="9">
        <v>2800</v>
      </c>
    </row>
    <row r="55" spans="1:13">
      <c r="A55" s="3" t="s">
        <v>95</v>
      </c>
      <c r="B55" s="4">
        <v>45272</v>
      </c>
      <c r="C55" s="3" t="s">
        <v>44</v>
      </c>
      <c r="D55" s="3" t="s">
        <v>14</v>
      </c>
      <c r="E55" s="3" t="s">
        <v>21</v>
      </c>
      <c r="F55" s="3" t="s">
        <v>48</v>
      </c>
      <c r="G55" s="3">
        <v>5</v>
      </c>
      <c r="H55" s="3">
        <v>1075.32</v>
      </c>
      <c r="I55" s="3">
        <v>0.1</v>
      </c>
      <c r="J55" s="3">
        <v>4838.9399999999996</v>
      </c>
      <c r="K55" s="3">
        <v>945.17</v>
      </c>
      <c r="L55" s="3" t="s">
        <v>30</v>
      </c>
      <c r="M55" s="9">
        <v>2850</v>
      </c>
    </row>
    <row r="56" spans="1:13">
      <c r="A56" s="3" t="s">
        <v>96</v>
      </c>
      <c r="B56" s="4">
        <v>44979</v>
      </c>
      <c r="C56" s="3" t="s">
        <v>90</v>
      </c>
      <c r="D56" s="3" t="s">
        <v>42</v>
      </c>
      <c r="E56" s="3" t="s">
        <v>25</v>
      </c>
      <c r="F56" s="3" t="s">
        <v>26</v>
      </c>
      <c r="G56" s="3">
        <v>7</v>
      </c>
      <c r="H56" s="3">
        <v>1973.4</v>
      </c>
      <c r="I56" s="3">
        <v>0.15</v>
      </c>
      <c r="J56" s="3">
        <v>11741.74</v>
      </c>
      <c r="K56" s="3">
        <v>1615.13</v>
      </c>
      <c r="L56" s="3" t="s">
        <v>30</v>
      </c>
      <c r="M56" s="9">
        <v>2900</v>
      </c>
    </row>
    <row r="57" spans="1:13">
      <c r="A57" s="3" t="s">
        <v>97</v>
      </c>
      <c r="B57" s="4">
        <v>45266</v>
      </c>
      <c r="C57" s="3" t="s">
        <v>33</v>
      </c>
      <c r="D57" s="3" t="s">
        <v>39</v>
      </c>
      <c r="E57" s="3" t="s">
        <v>21</v>
      </c>
      <c r="F57" s="3" t="s">
        <v>45</v>
      </c>
      <c r="G57" s="3">
        <v>3</v>
      </c>
      <c r="H57" s="3">
        <v>311.27999999999997</v>
      </c>
      <c r="I57" s="3">
        <v>0.1</v>
      </c>
      <c r="J57" s="3">
        <v>840.44</v>
      </c>
      <c r="K57" s="3">
        <v>95.32</v>
      </c>
      <c r="L57" s="3" t="s">
        <v>23</v>
      </c>
      <c r="M57" s="9">
        <v>2950</v>
      </c>
    </row>
    <row r="58" spans="1:13">
      <c r="A58" s="3" t="s">
        <v>98</v>
      </c>
      <c r="B58" s="4">
        <v>45018</v>
      </c>
      <c r="C58" s="3" t="s">
        <v>38</v>
      </c>
      <c r="D58" s="3" t="s">
        <v>20</v>
      </c>
      <c r="E58" s="3" t="s">
        <v>21</v>
      </c>
      <c r="F58" s="3" t="s">
        <v>22</v>
      </c>
      <c r="G58" s="3">
        <v>9</v>
      </c>
      <c r="H58" s="3">
        <v>1514</v>
      </c>
      <c r="I58" s="3">
        <v>0.1</v>
      </c>
      <c r="J58" s="3">
        <v>12263.42</v>
      </c>
      <c r="K58" s="3">
        <v>2401.69</v>
      </c>
      <c r="L58" s="3" t="s">
        <v>30</v>
      </c>
      <c r="M58" s="9">
        <v>3000</v>
      </c>
    </row>
    <row r="59" spans="1:13">
      <c r="A59" s="3" t="s">
        <v>99</v>
      </c>
      <c r="B59" s="4">
        <v>45190</v>
      </c>
      <c r="C59" s="3" t="s">
        <v>13</v>
      </c>
      <c r="D59" s="3" t="s">
        <v>39</v>
      </c>
      <c r="E59" s="3" t="s">
        <v>25</v>
      </c>
      <c r="F59" s="3" t="s">
        <v>55</v>
      </c>
      <c r="G59" s="3">
        <v>8</v>
      </c>
      <c r="H59" s="3">
        <v>1103.9000000000001</v>
      </c>
      <c r="I59" s="3">
        <v>0.2</v>
      </c>
      <c r="J59" s="3">
        <v>7064.98</v>
      </c>
      <c r="K59" s="3">
        <v>2054.54</v>
      </c>
      <c r="L59" s="3" t="s">
        <v>23</v>
      </c>
      <c r="M59" s="9">
        <v>3050</v>
      </c>
    </row>
    <row r="60" spans="1:13">
      <c r="A60" s="3" t="s">
        <v>100</v>
      </c>
      <c r="B60" s="4">
        <v>44961</v>
      </c>
      <c r="C60" s="3" t="s">
        <v>33</v>
      </c>
      <c r="D60" s="3" t="s">
        <v>20</v>
      </c>
      <c r="E60" s="3" t="s">
        <v>25</v>
      </c>
      <c r="F60" s="3" t="s">
        <v>26</v>
      </c>
      <c r="G60" s="3">
        <v>5</v>
      </c>
      <c r="H60" s="3">
        <v>580.67999999999995</v>
      </c>
      <c r="I60" s="3">
        <v>0.1</v>
      </c>
      <c r="J60" s="3">
        <v>2613.0700000000002</v>
      </c>
      <c r="K60" s="3">
        <v>763.87</v>
      </c>
      <c r="L60" s="3" t="s">
        <v>34</v>
      </c>
      <c r="M60" s="9">
        <v>3100</v>
      </c>
    </row>
    <row r="61" spans="1:13">
      <c r="A61" s="3" t="s">
        <v>101</v>
      </c>
      <c r="B61" s="4">
        <v>45132</v>
      </c>
      <c r="C61" s="3" t="s">
        <v>38</v>
      </c>
      <c r="D61" s="3" t="s">
        <v>20</v>
      </c>
      <c r="E61" s="3" t="s">
        <v>25</v>
      </c>
      <c r="F61" s="3" t="s">
        <v>52</v>
      </c>
      <c r="G61" s="3">
        <v>1</v>
      </c>
      <c r="H61" s="3">
        <v>1292.3599999999999</v>
      </c>
      <c r="I61" s="3">
        <v>0.1</v>
      </c>
      <c r="J61" s="3">
        <v>1163.1199999999999</v>
      </c>
      <c r="K61" s="3">
        <v>320.2</v>
      </c>
      <c r="L61" s="3" t="s">
        <v>30</v>
      </c>
      <c r="M61" s="9">
        <v>3150</v>
      </c>
    </row>
    <row r="62" spans="1:13">
      <c r="A62" s="3" t="s">
        <v>102</v>
      </c>
      <c r="B62" s="4">
        <v>45007</v>
      </c>
      <c r="C62" s="3" t="s">
        <v>28</v>
      </c>
      <c r="D62" s="3" t="s">
        <v>39</v>
      </c>
      <c r="E62" s="3" t="s">
        <v>21</v>
      </c>
      <c r="F62" s="3" t="s">
        <v>48</v>
      </c>
      <c r="G62" s="3">
        <v>8</v>
      </c>
      <c r="H62" s="3">
        <v>1278.25</v>
      </c>
      <c r="I62" s="3">
        <v>0.05</v>
      </c>
      <c r="J62" s="3">
        <v>9714.7099999999991</v>
      </c>
      <c r="K62" s="3">
        <v>942.62</v>
      </c>
      <c r="L62" s="3" t="s">
        <v>23</v>
      </c>
      <c r="M62" s="9">
        <v>3200</v>
      </c>
    </row>
    <row r="63" spans="1:13">
      <c r="A63" s="3" t="s">
        <v>103</v>
      </c>
      <c r="B63" s="4">
        <v>44976</v>
      </c>
      <c r="C63" s="3" t="s">
        <v>44</v>
      </c>
      <c r="D63" s="3" t="s">
        <v>42</v>
      </c>
      <c r="E63" s="3" t="s">
        <v>21</v>
      </c>
      <c r="F63" s="3" t="s">
        <v>22</v>
      </c>
      <c r="G63" s="3">
        <v>9</v>
      </c>
      <c r="H63" s="3">
        <v>593.9</v>
      </c>
      <c r="I63" s="3">
        <v>0.1</v>
      </c>
      <c r="J63" s="3">
        <v>4810.63</v>
      </c>
      <c r="K63" s="3">
        <v>1080.18</v>
      </c>
      <c r="L63" s="3" t="s">
        <v>34</v>
      </c>
      <c r="M63" s="9">
        <v>3250</v>
      </c>
    </row>
    <row r="64" spans="1:13">
      <c r="A64" s="3" t="s">
        <v>104</v>
      </c>
      <c r="B64" s="4">
        <v>45286</v>
      </c>
      <c r="C64" s="3" t="s">
        <v>13</v>
      </c>
      <c r="D64" s="3" t="s">
        <v>20</v>
      </c>
      <c r="E64" s="3" t="s">
        <v>25</v>
      </c>
      <c r="F64" s="3" t="s">
        <v>55</v>
      </c>
      <c r="G64" s="3">
        <v>3</v>
      </c>
      <c r="H64" s="3">
        <v>1662.82</v>
      </c>
      <c r="I64" s="3">
        <v>0.05</v>
      </c>
      <c r="J64" s="3">
        <v>4739.04</v>
      </c>
      <c r="K64" s="3">
        <v>730.57</v>
      </c>
      <c r="L64" s="3" t="s">
        <v>34</v>
      </c>
      <c r="M64" s="9">
        <v>3300</v>
      </c>
    </row>
    <row r="65" spans="1:13">
      <c r="A65" s="3" t="s">
        <v>105</v>
      </c>
      <c r="B65" s="4">
        <v>44928</v>
      </c>
      <c r="C65" s="3" t="s">
        <v>19</v>
      </c>
      <c r="D65" s="3" t="s">
        <v>39</v>
      </c>
      <c r="E65" s="3" t="s">
        <v>21</v>
      </c>
      <c r="F65" s="3" t="s">
        <v>48</v>
      </c>
      <c r="G65" s="3">
        <v>8</v>
      </c>
      <c r="H65" s="3">
        <v>1765.66</v>
      </c>
      <c r="I65" s="3">
        <v>0.1</v>
      </c>
      <c r="J65" s="3">
        <v>12712.73</v>
      </c>
      <c r="K65" s="3">
        <v>779.35</v>
      </c>
      <c r="L65" s="3" t="s">
        <v>34</v>
      </c>
      <c r="M65" s="9">
        <v>3350</v>
      </c>
    </row>
    <row r="66" spans="1:13">
      <c r="A66" s="3" t="s">
        <v>106</v>
      </c>
      <c r="B66" s="4">
        <v>44980</v>
      </c>
      <c r="C66" s="3" t="s">
        <v>28</v>
      </c>
      <c r="D66" s="3" t="s">
        <v>20</v>
      </c>
      <c r="E66" s="3" t="s">
        <v>21</v>
      </c>
      <c r="F66" s="3" t="s">
        <v>22</v>
      </c>
      <c r="G66" s="3">
        <v>2</v>
      </c>
      <c r="H66" s="3">
        <v>1975.82</v>
      </c>
      <c r="I66" s="3">
        <v>0</v>
      </c>
      <c r="J66" s="3">
        <v>3951.65</v>
      </c>
      <c r="K66" s="3">
        <v>569.77</v>
      </c>
      <c r="L66" s="3" t="s">
        <v>34</v>
      </c>
      <c r="M66" s="9">
        <v>3400</v>
      </c>
    </row>
    <row r="67" spans="1:13">
      <c r="A67" s="3" t="s">
        <v>107</v>
      </c>
      <c r="B67" s="4">
        <v>45032</v>
      </c>
      <c r="C67" s="3" t="s">
        <v>44</v>
      </c>
      <c r="D67" s="3" t="s">
        <v>42</v>
      </c>
      <c r="E67" s="3" t="s">
        <v>21</v>
      </c>
      <c r="F67" s="3" t="s">
        <v>45</v>
      </c>
      <c r="G67" s="3">
        <v>1</v>
      </c>
      <c r="H67" s="3">
        <v>1692.82</v>
      </c>
      <c r="I67" s="3">
        <v>0.05</v>
      </c>
      <c r="J67" s="3">
        <v>1608.18</v>
      </c>
      <c r="K67" s="3">
        <v>95.21</v>
      </c>
      <c r="L67" s="3" t="s">
        <v>30</v>
      </c>
      <c r="M67" s="9">
        <v>3450</v>
      </c>
    </row>
    <row r="68" spans="1:13">
      <c r="A68" s="3" t="s">
        <v>108</v>
      </c>
      <c r="B68" s="4">
        <v>45186</v>
      </c>
      <c r="C68" s="3" t="s">
        <v>13</v>
      </c>
      <c r="D68" s="3" t="s">
        <v>20</v>
      </c>
      <c r="E68" s="3" t="s">
        <v>15</v>
      </c>
      <c r="F68" s="3" t="s">
        <v>40</v>
      </c>
      <c r="G68" s="3">
        <v>1</v>
      </c>
      <c r="H68" s="3">
        <v>1115.26</v>
      </c>
      <c r="I68" s="3">
        <v>0.2</v>
      </c>
      <c r="J68" s="3">
        <v>892.21</v>
      </c>
      <c r="K68" s="3">
        <v>266.91000000000003</v>
      </c>
      <c r="L68" s="3" t="s">
        <v>34</v>
      </c>
      <c r="M68" s="9">
        <v>3500</v>
      </c>
    </row>
    <row r="69" spans="1:13">
      <c r="A69" s="3" t="s">
        <v>109</v>
      </c>
      <c r="B69" s="4">
        <v>45236</v>
      </c>
      <c r="C69" s="3" t="s">
        <v>90</v>
      </c>
      <c r="D69" s="3" t="s">
        <v>42</v>
      </c>
      <c r="E69" s="3" t="s">
        <v>25</v>
      </c>
      <c r="F69" s="3" t="s">
        <v>55</v>
      </c>
      <c r="G69" s="3">
        <v>3</v>
      </c>
      <c r="H69" s="3">
        <v>569.96</v>
      </c>
      <c r="I69" s="3">
        <v>0</v>
      </c>
      <c r="J69" s="3">
        <v>1709.88</v>
      </c>
      <c r="K69" s="3">
        <v>140.71</v>
      </c>
      <c r="L69" s="3" t="s">
        <v>34</v>
      </c>
      <c r="M69" s="9">
        <v>3550</v>
      </c>
    </row>
    <row r="70" spans="1:13">
      <c r="A70" s="3" t="s">
        <v>110</v>
      </c>
      <c r="B70" s="4">
        <v>45117</v>
      </c>
      <c r="C70" s="3" t="s">
        <v>59</v>
      </c>
      <c r="D70" s="3" t="s">
        <v>20</v>
      </c>
      <c r="E70" s="3" t="s">
        <v>21</v>
      </c>
      <c r="F70" s="3" t="s">
        <v>22</v>
      </c>
      <c r="G70" s="3">
        <v>1</v>
      </c>
      <c r="H70" s="3">
        <v>1538.3</v>
      </c>
      <c r="I70" s="3">
        <v>0.05</v>
      </c>
      <c r="J70" s="3">
        <v>1461.38</v>
      </c>
      <c r="K70" s="3">
        <v>203.92</v>
      </c>
      <c r="L70" s="3" t="s">
        <v>23</v>
      </c>
      <c r="M70" s="9">
        <v>3600</v>
      </c>
    </row>
    <row r="71" spans="1:13">
      <c r="A71" s="3" t="s">
        <v>111</v>
      </c>
      <c r="B71" s="4">
        <v>45144</v>
      </c>
      <c r="C71" s="3" t="s">
        <v>44</v>
      </c>
      <c r="D71" s="3" t="s">
        <v>14</v>
      </c>
      <c r="E71" s="3" t="s">
        <v>21</v>
      </c>
      <c r="F71" s="3" t="s">
        <v>48</v>
      </c>
      <c r="G71" s="3">
        <v>6</v>
      </c>
      <c r="H71" s="3">
        <v>1567.4</v>
      </c>
      <c r="I71" s="3">
        <v>0.1</v>
      </c>
      <c r="J71" s="3">
        <v>8463.99</v>
      </c>
      <c r="K71" s="3">
        <v>1074.45</v>
      </c>
      <c r="L71" s="3" t="s">
        <v>30</v>
      </c>
      <c r="M71" s="9">
        <v>3650</v>
      </c>
    </row>
    <row r="72" spans="1:13">
      <c r="A72" s="3" t="s">
        <v>112</v>
      </c>
      <c r="B72" s="4">
        <v>44970</v>
      </c>
      <c r="C72" s="3" t="s">
        <v>33</v>
      </c>
      <c r="D72" s="3" t="s">
        <v>20</v>
      </c>
      <c r="E72" s="3" t="s">
        <v>25</v>
      </c>
      <c r="F72" s="3" t="s">
        <v>52</v>
      </c>
      <c r="G72" s="3">
        <v>9</v>
      </c>
      <c r="H72" s="3">
        <v>1220.92</v>
      </c>
      <c r="I72" s="3">
        <v>0.2</v>
      </c>
      <c r="J72" s="3">
        <v>8790.6</v>
      </c>
      <c r="K72" s="3">
        <v>1802.75</v>
      </c>
      <c r="L72" s="3" t="s">
        <v>17</v>
      </c>
      <c r="M72" s="9">
        <v>3700</v>
      </c>
    </row>
    <row r="73" spans="1:13">
      <c r="A73" s="3" t="s">
        <v>113</v>
      </c>
      <c r="B73" s="4">
        <v>45088</v>
      </c>
      <c r="C73" s="3" t="s">
        <v>90</v>
      </c>
      <c r="D73" s="3" t="s">
        <v>20</v>
      </c>
      <c r="E73" s="3" t="s">
        <v>15</v>
      </c>
      <c r="F73" s="3" t="s">
        <v>40</v>
      </c>
      <c r="G73" s="3">
        <v>2</v>
      </c>
      <c r="H73" s="3">
        <v>766.12</v>
      </c>
      <c r="I73" s="3">
        <v>0.05</v>
      </c>
      <c r="J73" s="3">
        <v>1455.62</v>
      </c>
      <c r="K73" s="3">
        <v>304.45999999999998</v>
      </c>
      <c r="L73" s="3" t="s">
        <v>23</v>
      </c>
      <c r="M73" s="9">
        <v>3750</v>
      </c>
    </row>
    <row r="74" spans="1:13">
      <c r="A74" s="3" t="s">
        <v>114</v>
      </c>
      <c r="B74" s="4">
        <v>45128</v>
      </c>
      <c r="C74" s="3" t="s">
        <v>28</v>
      </c>
      <c r="D74" s="3" t="s">
        <v>20</v>
      </c>
      <c r="E74" s="3" t="s">
        <v>25</v>
      </c>
      <c r="F74" s="3" t="s">
        <v>52</v>
      </c>
      <c r="G74" s="3">
        <v>1</v>
      </c>
      <c r="H74" s="3">
        <v>1588.94</v>
      </c>
      <c r="I74" s="3">
        <v>0.15</v>
      </c>
      <c r="J74" s="3">
        <v>1350.6</v>
      </c>
      <c r="K74" s="3">
        <v>168.14</v>
      </c>
      <c r="L74" s="3" t="s">
        <v>34</v>
      </c>
      <c r="M74" s="9">
        <v>3800</v>
      </c>
    </row>
    <row r="75" spans="1:13">
      <c r="A75" s="3" t="s">
        <v>115</v>
      </c>
      <c r="B75" s="4">
        <v>45196</v>
      </c>
      <c r="C75" s="3" t="s">
        <v>36</v>
      </c>
      <c r="D75" s="3" t="s">
        <v>39</v>
      </c>
      <c r="E75" s="3" t="s">
        <v>25</v>
      </c>
      <c r="F75" s="3" t="s">
        <v>55</v>
      </c>
      <c r="G75" s="3">
        <v>4</v>
      </c>
      <c r="H75" s="3">
        <v>972.76</v>
      </c>
      <c r="I75" s="3">
        <v>0</v>
      </c>
      <c r="J75" s="3">
        <v>3891.04</v>
      </c>
      <c r="K75" s="3">
        <v>673.26</v>
      </c>
      <c r="L75" s="3" t="s">
        <v>34</v>
      </c>
      <c r="M75" s="9">
        <v>3850</v>
      </c>
    </row>
    <row r="76" spans="1:13">
      <c r="A76" s="3" t="s">
        <v>116</v>
      </c>
      <c r="B76" s="4">
        <v>45277</v>
      </c>
      <c r="C76" s="3" t="s">
        <v>90</v>
      </c>
      <c r="D76" s="3" t="s">
        <v>20</v>
      </c>
      <c r="E76" s="3" t="s">
        <v>21</v>
      </c>
      <c r="F76" s="3" t="s">
        <v>48</v>
      </c>
      <c r="G76" s="3">
        <v>5</v>
      </c>
      <c r="H76" s="3">
        <v>760.09</v>
      </c>
      <c r="I76" s="3">
        <v>0.1</v>
      </c>
      <c r="J76" s="3">
        <v>3420.38</v>
      </c>
      <c r="K76" s="3">
        <v>666.68</v>
      </c>
      <c r="L76" s="3" t="s">
        <v>34</v>
      </c>
      <c r="M76" s="9">
        <v>3900</v>
      </c>
    </row>
    <row r="77" spans="1:13">
      <c r="A77" s="3" t="s">
        <v>117</v>
      </c>
      <c r="B77" s="4">
        <v>45230</v>
      </c>
      <c r="C77" s="3" t="s">
        <v>59</v>
      </c>
      <c r="D77" s="3" t="s">
        <v>42</v>
      </c>
      <c r="E77" s="3" t="s">
        <v>15</v>
      </c>
      <c r="F77" s="3" t="s">
        <v>16</v>
      </c>
      <c r="G77" s="3">
        <v>6</v>
      </c>
      <c r="H77" s="3">
        <v>1425.57</v>
      </c>
      <c r="I77" s="3">
        <v>0.15</v>
      </c>
      <c r="J77" s="3">
        <v>7270.4</v>
      </c>
      <c r="K77" s="3">
        <v>694.11</v>
      </c>
      <c r="L77" s="3" t="s">
        <v>17</v>
      </c>
      <c r="M77" s="9">
        <v>3950</v>
      </c>
    </row>
    <row r="78" spans="1:13">
      <c r="A78" s="3" t="s">
        <v>118</v>
      </c>
      <c r="B78" s="4">
        <v>45197</v>
      </c>
      <c r="C78" s="3" t="s">
        <v>13</v>
      </c>
      <c r="D78" s="3" t="s">
        <v>14</v>
      </c>
      <c r="E78" s="3" t="s">
        <v>15</v>
      </c>
      <c r="F78" s="3" t="s">
        <v>16</v>
      </c>
      <c r="G78" s="3">
        <v>2</v>
      </c>
      <c r="H78" s="3">
        <v>1243.68</v>
      </c>
      <c r="I78" s="3">
        <v>0.1</v>
      </c>
      <c r="J78" s="3">
        <v>2238.62</v>
      </c>
      <c r="K78" s="3">
        <v>134.80000000000001</v>
      </c>
      <c r="L78" s="3" t="s">
        <v>30</v>
      </c>
      <c r="M78" s="9">
        <v>4000</v>
      </c>
    </row>
    <row r="79" spans="1:13">
      <c r="A79" s="3" t="s">
        <v>119</v>
      </c>
      <c r="B79" s="4">
        <v>45141</v>
      </c>
      <c r="C79" s="3" t="s">
        <v>28</v>
      </c>
      <c r="D79" s="3" t="s">
        <v>14</v>
      </c>
      <c r="E79" s="3" t="s">
        <v>21</v>
      </c>
      <c r="F79" s="3" t="s">
        <v>22</v>
      </c>
      <c r="G79" s="3">
        <v>6</v>
      </c>
      <c r="H79" s="3">
        <v>268.52999999999997</v>
      </c>
      <c r="I79" s="3">
        <v>0</v>
      </c>
      <c r="J79" s="3">
        <v>1611.21</v>
      </c>
      <c r="K79" s="3">
        <v>295.83</v>
      </c>
      <c r="L79" s="3" t="s">
        <v>23</v>
      </c>
      <c r="M79" s="9">
        <v>4050</v>
      </c>
    </row>
    <row r="80" spans="1:13">
      <c r="A80" s="3" t="s">
        <v>120</v>
      </c>
      <c r="B80" s="4">
        <v>45178</v>
      </c>
      <c r="C80" s="3" t="s">
        <v>59</v>
      </c>
      <c r="D80" s="3" t="s">
        <v>14</v>
      </c>
      <c r="E80" s="3" t="s">
        <v>25</v>
      </c>
      <c r="F80" s="3" t="s">
        <v>52</v>
      </c>
      <c r="G80" s="3">
        <v>9</v>
      </c>
      <c r="H80" s="3">
        <v>275.35000000000002</v>
      </c>
      <c r="I80" s="3">
        <v>0</v>
      </c>
      <c r="J80" s="3">
        <v>2478.17</v>
      </c>
      <c r="K80" s="3">
        <v>550.02</v>
      </c>
      <c r="L80" s="3" t="s">
        <v>17</v>
      </c>
      <c r="M80" s="9">
        <v>4100</v>
      </c>
    </row>
    <row r="81" spans="1:13">
      <c r="A81" s="3" t="s">
        <v>121</v>
      </c>
      <c r="B81" s="4">
        <v>45116</v>
      </c>
      <c r="C81" s="3" t="s">
        <v>90</v>
      </c>
      <c r="D81" s="3" t="s">
        <v>42</v>
      </c>
      <c r="E81" s="3" t="s">
        <v>15</v>
      </c>
      <c r="F81" s="3" t="s">
        <v>29</v>
      </c>
      <c r="G81" s="3">
        <v>1</v>
      </c>
      <c r="H81" s="3">
        <v>626.07000000000005</v>
      </c>
      <c r="I81" s="3">
        <v>0</v>
      </c>
      <c r="J81" s="3">
        <v>626.07000000000005</v>
      </c>
      <c r="K81" s="3">
        <v>44.53</v>
      </c>
      <c r="L81" s="3" t="s">
        <v>30</v>
      </c>
      <c r="M81" s="9">
        <v>4150</v>
      </c>
    </row>
    <row r="82" spans="1:13">
      <c r="A82" s="3" t="s">
        <v>122</v>
      </c>
      <c r="B82" s="4">
        <v>45222</v>
      </c>
      <c r="C82" s="3" t="s">
        <v>59</v>
      </c>
      <c r="D82" s="3" t="s">
        <v>14</v>
      </c>
      <c r="E82" s="3" t="s">
        <v>15</v>
      </c>
      <c r="F82" s="3" t="s">
        <v>16</v>
      </c>
      <c r="G82" s="3">
        <v>8</v>
      </c>
      <c r="H82" s="3">
        <v>1020.59</v>
      </c>
      <c r="I82" s="3">
        <v>0.05</v>
      </c>
      <c r="J82" s="3">
        <v>7756.51</v>
      </c>
      <c r="K82" s="3">
        <v>1861.48</v>
      </c>
      <c r="L82" s="3" t="s">
        <v>34</v>
      </c>
      <c r="M82" s="9">
        <v>4200</v>
      </c>
    </row>
    <row r="83" spans="1:13">
      <c r="A83" s="3" t="s">
        <v>123</v>
      </c>
      <c r="B83" s="4">
        <v>45139</v>
      </c>
      <c r="C83" s="3" t="s">
        <v>33</v>
      </c>
      <c r="D83" s="3" t="s">
        <v>14</v>
      </c>
      <c r="E83" s="3" t="s">
        <v>21</v>
      </c>
      <c r="F83" s="3" t="s">
        <v>48</v>
      </c>
      <c r="G83" s="3">
        <v>8</v>
      </c>
      <c r="H83" s="3">
        <v>352.92</v>
      </c>
      <c r="I83" s="3">
        <v>0.1</v>
      </c>
      <c r="J83" s="3">
        <v>2541.04</v>
      </c>
      <c r="K83" s="3">
        <v>695.74</v>
      </c>
      <c r="L83" s="3" t="s">
        <v>23</v>
      </c>
      <c r="M83" s="9">
        <v>4250</v>
      </c>
    </row>
    <row r="84" spans="1:13">
      <c r="A84" s="3" t="s">
        <v>124</v>
      </c>
      <c r="B84" s="4">
        <v>45134</v>
      </c>
      <c r="C84" s="3" t="s">
        <v>38</v>
      </c>
      <c r="D84" s="3" t="s">
        <v>42</v>
      </c>
      <c r="E84" s="3" t="s">
        <v>15</v>
      </c>
      <c r="F84" s="3" t="s">
        <v>16</v>
      </c>
      <c r="G84" s="3">
        <v>9</v>
      </c>
      <c r="H84" s="3">
        <v>1501.07</v>
      </c>
      <c r="I84" s="3">
        <v>0.15</v>
      </c>
      <c r="J84" s="3">
        <v>11483.18</v>
      </c>
      <c r="K84" s="3">
        <v>631.78</v>
      </c>
      <c r="L84" s="3" t="s">
        <v>17</v>
      </c>
      <c r="M84" s="9">
        <v>4300</v>
      </c>
    </row>
    <row r="85" spans="1:13">
      <c r="A85" s="3" t="s">
        <v>125</v>
      </c>
      <c r="B85" s="4">
        <v>45163</v>
      </c>
      <c r="C85" s="3" t="s">
        <v>28</v>
      </c>
      <c r="D85" s="3" t="s">
        <v>20</v>
      </c>
      <c r="E85" s="3" t="s">
        <v>21</v>
      </c>
      <c r="F85" s="3" t="s">
        <v>48</v>
      </c>
      <c r="G85" s="3">
        <v>9</v>
      </c>
      <c r="H85" s="3">
        <v>1792</v>
      </c>
      <c r="I85" s="3">
        <v>0.15</v>
      </c>
      <c r="J85" s="3">
        <v>13708.81</v>
      </c>
      <c r="K85" s="3">
        <v>2309.83</v>
      </c>
      <c r="L85" s="3" t="s">
        <v>34</v>
      </c>
      <c r="M85" s="9">
        <v>4350</v>
      </c>
    </row>
    <row r="86" spans="1:13">
      <c r="A86" s="3" t="s">
        <v>126</v>
      </c>
      <c r="B86" s="4">
        <v>45264</v>
      </c>
      <c r="C86" s="3" t="s">
        <v>59</v>
      </c>
      <c r="D86" s="3" t="s">
        <v>42</v>
      </c>
      <c r="E86" s="3" t="s">
        <v>25</v>
      </c>
      <c r="F86" s="3" t="s">
        <v>52</v>
      </c>
      <c r="G86" s="3">
        <v>4</v>
      </c>
      <c r="H86" s="3">
        <v>1120.5</v>
      </c>
      <c r="I86" s="3">
        <v>0.05</v>
      </c>
      <c r="J86" s="3">
        <v>4257.91</v>
      </c>
      <c r="K86" s="3">
        <v>806.6</v>
      </c>
      <c r="L86" s="3" t="s">
        <v>30</v>
      </c>
      <c r="M86" s="9">
        <v>4400</v>
      </c>
    </row>
    <row r="87" spans="1:13">
      <c r="A87" s="3" t="s">
        <v>127</v>
      </c>
      <c r="B87" s="4">
        <v>44979</v>
      </c>
      <c r="C87" s="3" t="s">
        <v>33</v>
      </c>
      <c r="D87" s="3" t="s">
        <v>20</v>
      </c>
      <c r="E87" s="3" t="s">
        <v>15</v>
      </c>
      <c r="F87" s="3" t="s">
        <v>40</v>
      </c>
      <c r="G87" s="3">
        <v>9</v>
      </c>
      <c r="H87" s="3">
        <v>741.15</v>
      </c>
      <c r="I87" s="3">
        <v>0.15</v>
      </c>
      <c r="J87" s="3">
        <v>5669.79</v>
      </c>
      <c r="K87" s="3">
        <v>1199.04</v>
      </c>
      <c r="L87" s="3" t="s">
        <v>30</v>
      </c>
      <c r="M87" s="9">
        <v>4450</v>
      </c>
    </row>
    <row r="88" spans="1:13">
      <c r="A88" s="3" t="s">
        <v>128</v>
      </c>
      <c r="B88" s="4">
        <v>45206</v>
      </c>
      <c r="C88" s="3" t="s">
        <v>13</v>
      </c>
      <c r="D88" s="3" t="s">
        <v>14</v>
      </c>
      <c r="E88" s="3" t="s">
        <v>15</v>
      </c>
      <c r="F88" s="3" t="s">
        <v>29</v>
      </c>
      <c r="G88" s="3">
        <v>6</v>
      </c>
      <c r="H88" s="3">
        <v>1250.97</v>
      </c>
      <c r="I88" s="3">
        <v>0</v>
      </c>
      <c r="J88" s="3">
        <v>7505.83</v>
      </c>
      <c r="K88" s="3">
        <v>389.43</v>
      </c>
      <c r="L88" s="3" t="s">
        <v>23</v>
      </c>
      <c r="M88" s="9">
        <v>4500</v>
      </c>
    </row>
    <row r="89" spans="1:13">
      <c r="A89" s="3" t="s">
        <v>129</v>
      </c>
      <c r="B89" s="4">
        <v>45143</v>
      </c>
      <c r="C89" s="3" t="s">
        <v>59</v>
      </c>
      <c r="D89" s="3" t="s">
        <v>42</v>
      </c>
      <c r="E89" s="3" t="s">
        <v>15</v>
      </c>
      <c r="F89" s="3" t="s">
        <v>40</v>
      </c>
      <c r="G89" s="3">
        <v>8</v>
      </c>
      <c r="H89" s="3">
        <v>1803.85</v>
      </c>
      <c r="I89" s="3">
        <v>0.1</v>
      </c>
      <c r="J89" s="3">
        <v>12987.75</v>
      </c>
      <c r="K89" s="3">
        <v>2352.44</v>
      </c>
      <c r="L89" s="3" t="s">
        <v>30</v>
      </c>
      <c r="M89" s="9">
        <v>4550</v>
      </c>
    </row>
    <row r="90" spans="1:13">
      <c r="A90" s="3" t="s">
        <v>130</v>
      </c>
      <c r="B90" s="4">
        <v>45178</v>
      </c>
      <c r="C90" s="3" t="s">
        <v>51</v>
      </c>
      <c r="D90" s="3" t="s">
        <v>14</v>
      </c>
      <c r="E90" s="3" t="s">
        <v>15</v>
      </c>
      <c r="F90" s="3" t="s">
        <v>40</v>
      </c>
      <c r="G90" s="3">
        <v>2</v>
      </c>
      <c r="H90" s="3">
        <v>1194.4000000000001</v>
      </c>
      <c r="I90" s="3">
        <v>0.1</v>
      </c>
      <c r="J90" s="3">
        <v>2149.91</v>
      </c>
      <c r="K90" s="3">
        <v>572.69000000000005</v>
      </c>
      <c r="L90" s="3" t="s">
        <v>34</v>
      </c>
      <c r="M90" s="9">
        <v>4600</v>
      </c>
    </row>
    <row r="91" spans="1:13">
      <c r="A91" s="3" t="s">
        <v>131</v>
      </c>
      <c r="B91" s="4">
        <v>45114</v>
      </c>
      <c r="C91" s="3" t="s">
        <v>59</v>
      </c>
      <c r="D91" s="3" t="s">
        <v>14</v>
      </c>
      <c r="E91" s="3" t="s">
        <v>21</v>
      </c>
      <c r="F91" s="3" t="s">
        <v>48</v>
      </c>
      <c r="G91" s="3">
        <v>3</v>
      </c>
      <c r="H91" s="3">
        <v>1659.64</v>
      </c>
      <c r="I91" s="3">
        <v>0.05</v>
      </c>
      <c r="J91" s="3">
        <v>4729.96</v>
      </c>
      <c r="K91" s="3">
        <v>894.87</v>
      </c>
      <c r="L91" s="3" t="s">
        <v>17</v>
      </c>
      <c r="M91" s="9">
        <v>4650</v>
      </c>
    </row>
    <row r="92" spans="1:13">
      <c r="A92" s="3" t="s">
        <v>132</v>
      </c>
      <c r="B92" s="4">
        <v>44967</v>
      </c>
      <c r="C92" s="3" t="s">
        <v>44</v>
      </c>
      <c r="D92" s="3" t="s">
        <v>39</v>
      </c>
      <c r="E92" s="3" t="s">
        <v>25</v>
      </c>
      <c r="F92" s="3" t="s">
        <v>55</v>
      </c>
      <c r="G92" s="3">
        <v>6</v>
      </c>
      <c r="H92" s="3">
        <v>1939.19</v>
      </c>
      <c r="I92" s="3">
        <v>0.15</v>
      </c>
      <c r="J92" s="3">
        <v>9889.86</v>
      </c>
      <c r="K92" s="3">
        <v>1546.37</v>
      </c>
      <c r="L92" s="3" t="s">
        <v>34</v>
      </c>
      <c r="M92" s="9">
        <v>4700</v>
      </c>
    </row>
    <row r="93" spans="1:13">
      <c r="A93" s="3" t="s">
        <v>133</v>
      </c>
      <c r="B93" s="4">
        <v>45083</v>
      </c>
      <c r="C93" s="3" t="s">
        <v>90</v>
      </c>
      <c r="D93" s="3" t="s">
        <v>42</v>
      </c>
      <c r="E93" s="3" t="s">
        <v>15</v>
      </c>
      <c r="F93" s="3" t="s">
        <v>29</v>
      </c>
      <c r="G93" s="3">
        <v>6</v>
      </c>
      <c r="H93" s="3">
        <v>1204.3499999999999</v>
      </c>
      <c r="I93" s="3">
        <v>0.1</v>
      </c>
      <c r="J93" s="3">
        <v>6503.5</v>
      </c>
      <c r="K93" s="3">
        <v>1840.51</v>
      </c>
      <c r="L93" s="3" t="s">
        <v>23</v>
      </c>
      <c r="M93" s="9">
        <v>4750</v>
      </c>
    </row>
    <row r="94" spans="1:13">
      <c r="A94" s="3" t="s">
        <v>134</v>
      </c>
      <c r="B94" s="4">
        <v>44941</v>
      </c>
      <c r="C94" s="3" t="s">
        <v>59</v>
      </c>
      <c r="D94" s="3" t="s">
        <v>14</v>
      </c>
      <c r="E94" s="3" t="s">
        <v>21</v>
      </c>
      <c r="F94" s="3" t="s">
        <v>48</v>
      </c>
      <c r="G94" s="3">
        <v>5</v>
      </c>
      <c r="H94" s="3">
        <v>220.41</v>
      </c>
      <c r="I94" s="3">
        <v>0.15</v>
      </c>
      <c r="J94" s="3">
        <v>936.75</v>
      </c>
      <c r="K94" s="3">
        <v>94.08</v>
      </c>
      <c r="L94" s="3" t="s">
        <v>30</v>
      </c>
      <c r="M94" s="9">
        <v>4800</v>
      </c>
    </row>
    <row r="95" spans="1:13">
      <c r="A95" s="3" t="s">
        <v>135</v>
      </c>
      <c r="B95" s="4">
        <v>45227</v>
      </c>
      <c r="C95" s="3" t="s">
        <v>59</v>
      </c>
      <c r="D95" s="3" t="s">
        <v>14</v>
      </c>
      <c r="E95" s="3" t="s">
        <v>25</v>
      </c>
      <c r="F95" s="3" t="s">
        <v>26</v>
      </c>
      <c r="G95" s="3">
        <v>5</v>
      </c>
      <c r="H95" s="3">
        <v>105.15</v>
      </c>
      <c r="I95" s="3">
        <v>0</v>
      </c>
      <c r="J95" s="3">
        <v>525.75</v>
      </c>
      <c r="K95" s="3">
        <v>104.58</v>
      </c>
      <c r="L95" s="3" t="s">
        <v>17</v>
      </c>
      <c r="M95" s="9">
        <v>4850</v>
      </c>
    </row>
    <row r="96" spans="1:13">
      <c r="A96" s="3" t="s">
        <v>136</v>
      </c>
      <c r="B96" s="4">
        <v>44991</v>
      </c>
      <c r="C96" s="3" t="s">
        <v>13</v>
      </c>
      <c r="D96" s="3" t="s">
        <v>39</v>
      </c>
      <c r="E96" s="3" t="s">
        <v>15</v>
      </c>
      <c r="F96" s="3" t="s">
        <v>40</v>
      </c>
      <c r="G96" s="3">
        <v>1</v>
      </c>
      <c r="H96" s="3">
        <v>1716.38</v>
      </c>
      <c r="I96" s="3">
        <v>0.15</v>
      </c>
      <c r="J96" s="3">
        <v>1458.92</v>
      </c>
      <c r="K96" s="3">
        <v>424.92</v>
      </c>
      <c r="L96" s="3" t="s">
        <v>17</v>
      </c>
      <c r="M96" s="9">
        <v>4900</v>
      </c>
    </row>
    <row r="97" spans="1:13">
      <c r="A97" s="3" t="s">
        <v>137</v>
      </c>
      <c r="B97" s="4">
        <v>45271</v>
      </c>
      <c r="C97" s="3" t="s">
        <v>59</v>
      </c>
      <c r="D97" s="3" t="s">
        <v>20</v>
      </c>
      <c r="E97" s="3" t="s">
        <v>25</v>
      </c>
      <c r="F97" s="3" t="s">
        <v>52</v>
      </c>
      <c r="G97" s="3">
        <v>3</v>
      </c>
      <c r="H97" s="3">
        <v>226.34</v>
      </c>
      <c r="I97" s="3">
        <v>0.15</v>
      </c>
      <c r="J97" s="3">
        <v>577.16999999999996</v>
      </c>
      <c r="K97" s="3">
        <v>150.33000000000001</v>
      </c>
      <c r="L97" s="3" t="s">
        <v>34</v>
      </c>
      <c r="M97" s="9">
        <v>4950</v>
      </c>
    </row>
    <row r="98" spans="1:13">
      <c r="A98" s="3" t="s">
        <v>138</v>
      </c>
      <c r="B98" s="4">
        <v>45253</v>
      </c>
      <c r="C98" s="3" t="s">
        <v>28</v>
      </c>
      <c r="D98" s="3" t="s">
        <v>14</v>
      </c>
      <c r="E98" s="3" t="s">
        <v>25</v>
      </c>
      <c r="F98" s="3" t="s">
        <v>52</v>
      </c>
      <c r="G98" s="3">
        <v>3</v>
      </c>
      <c r="H98" s="3">
        <v>412.11</v>
      </c>
      <c r="I98" s="3">
        <v>0.2</v>
      </c>
      <c r="J98" s="3">
        <v>989.05</v>
      </c>
      <c r="K98" s="3">
        <v>107.73</v>
      </c>
      <c r="L98" s="3" t="s">
        <v>30</v>
      </c>
      <c r="M98" s="9">
        <v>5000</v>
      </c>
    </row>
    <row r="99" spans="1:13">
      <c r="A99" s="3" t="s">
        <v>139</v>
      </c>
      <c r="B99" s="4">
        <v>44935</v>
      </c>
      <c r="C99" s="3" t="s">
        <v>44</v>
      </c>
      <c r="D99" s="3" t="s">
        <v>20</v>
      </c>
      <c r="E99" s="3" t="s">
        <v>25</v>
      </c>
      <c r="F99" s="3" t="s">
        <v>55</v>
      </c>
      <c r="G99" s="3">
        <v>9</v>
      </c>
      <c r="H99" s="3">
        <v>1397.67</v>
      </c>
      <c r="I99" s="3">
        <v>0.1</v>
      </c>
      <c r="J99" s="3">
        <v>11321.09</v>
      </c>
      <c r="K99" s="3">
        <v>2332.4299999999998</v>
      </c>
      <c r="L99" s="3" t="s">
        <v>17</v>
      </c>
      <c r="M99" s="9">
        <v>5050</v>
      </c>
    </row>
    <row r="100" spans="1:13">
      <c r="A100" s="3" t="s">
        <v>140</v>
      </c>
      <c r="B100" s="4">
        <v>45270</v>
      </c>
      <c r="C100" s="3" t="s">
        <v>59</v>
      </c>
      <c r="D100" s="3" t="s">
        <v>39</v>
      </c>
      <c r="E100" s="3" t="s">
        <v>15</v>
      </c>
      <c r="F100" s="3" t="s">
        <v>29</v>
      </c>
      <c r="G100" s="3">
        <v>9</v>
      </c>
      <c r="H100" s="3">
        <v>775.19</v>
      </c>
      <c r="I100" s="3">
        <v>0.05</v>
      </c>
      <c r="J100" s="3">
        <v>6627.86</v>
      </c>
      <c r="K100" s="3">
        <v>1232.04</v>
      </c>
      <c r="L100" s="3" t="s">
        <v>17</v>
      </c>
      <c r="M100" s="9">
        <v>5100</v>
      </c>
    </row>
    <row r="101" spans="1:13">
      <c r="A101" s="3" t="s">
        <v>141</v>
      </c>
      <c r="B101" s="4">
        <v>45055</v>
      </c>
      <c r="C101" s="3" t="s">
        <v>36</v>
      </c>
      <c r="D101" s="3" t="s">
        <v>20</v>
      </c>
      <c r="E101" s="3" t="s">
        <v>15</v>
      </c>
      <c r="F101" s="3" t="s">
        <v>16</v>
      </c>
      <c r="G101" s="3">
        <v>6</v>
      </c>
      <c r="H101" s="3">
        <v>1885.68</v>
      </c>
      <c r="I101" s="3">
        <v>0.1</v>
      </c>
      <c r="J101" s="3">
        <v>10182.68</v>
      </c>
      <c r="K101" s="3">
        <v>1361.69</v>
      </c>
      <c r="L101" s="3" t="s">
        <v>17</v>
      </c>
      <c r="M101" s="9">
        <v>5150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104"/>
  <sheetViews>
    <sheetView workbookViewId="0">
      <selection activeCell="B8" sqref="B8"/>
    </sheetView>
  </sheetViews>
  <sheetFormatPr defaultColWidth="9.140625" defaultRowHeight="15"/>
  <cols>
    <col min="1" max="1" width="17.7109375" bestFit="1" customWidth="1"/>
    <col min="2" max="2" width="17.28515625" bestFit="1" customWidth="1"/>
    <col min="3" max="3" width="16" bestFit="1" customWidth="1"/>
    <col min="4" max="4" width="13.140625" customWidth="1"/>
    <col min="5" max="5" width="13.140625" bestFit="1" customWidth="1"/>
    <col min="6" max="6" width="12.5703125" bestFit="1" customWidth="1"/>
    <col min="8" max="8" width="17.28515625" bestFit="1" customWidth="1"/>
    <col min="9" max="9" width="8.28515625" bestFit="1" customWidth="1"/>
    <col min="11" max="11" width="13.140625" bestFit="1" customWidth="1"/>
    <col min="12" max="12" width="17.28515625" bestFit="1" customWidth="1"/>
    <col min="14" max="14" width="20.28515625" bestFit="1" customWidth="1"/>
    <col min="15" max="15" width="17.28515625" bestFit="1" customWidth="1"/>
    <col min="16" max="16" width="14.5703125" bestFit="1" customWidth="1"/>
    <col min="17" max="17" width="17.28515625" bestFit="1" customWidth="1"/>
  </cols>
  <sheetData>
    <row r="2" spans="1:17">
      <c r="H2" s="5" t="s">
        <v>2</v>
      </c>
      <c r="I2" t="s">
        <v>13</v>
      </c>
    </row>
    <row r="3" spans="1:17">
      <c r="A3" s="5" t="s">
        <v>2</v>
      </c>
      <c r="B3" t="s">
        <v>143</v>
      </c>
      <c r="C3" t="s">
        <v>159</v>
      </c>
      <c r="D3" s="5"/>
      <c r="E3" s="5" t="s">
        <v>144</v>
      </c>
      <c r="F3" t="s">
        <v>145</v>
      </c>
      <c r="K3" s="5" t="s">
        <v>144</v>
      </c>
      <c r="L3" t="s">
        <v>143</v>
      </c>
      <c r="N3" s="12" t="s">
        <v>2</v>
      </c>
      <c r="O3" s="12" t="s">
        <v>3</v>
      </c>
      <c r="P3" s="12" t="s">
        <v>4</v>
      </c>
      <c r="Q3" s="13" t="s">
        <v>143</v>
      </c>
    </row>
    <row r="4" spans="1:17">
      <c r="A4" t="s">
        <v>44</v>
      </c>
      <c r="B4" s="6">
        <v>70275.61</v>
      </c>
      <c r="C4" s="6">
        <v>7027.5610000000006</v>
      </c>
      <c r="D4" s="7"/>
      <c r="E4" s="7" t="s">
        <v>12</v>
      </c>
      <c r="F4" s="6">
        <v>964.48</v>
      </c>
      <c r="H4" t="s">
        <v>143</v>
      </c>
      <c r="K4" s="7" t="s">
        <v>147</v>
      </c>
      <c r="L4" s="6">
        <v>47322.349999999991</v>
      </c>
      <c r="N4" s="17" t="s">
        <v>44</v>
      </c>
      <c r="O4" s="17" t="s">
        <v>20</v>
      </c>
      <c r="P4" s="17" t="s">
        <v>25</v>
      </c>
      <c r="Q4" s="14">
        <v>11321.09</v>
      </c>
    </row>
    <row r="5" spans="1:17">
      <c r="A5" t="s">
        <v>13</v>
      </c>
      <c r="B5" s="6">
        <v>51509.52</v>
      </c>
      <c r="C5" s="6">
        <v>5150.9520000000002</v>
      </c>
      <c r="D5" s="7"/>
      <c r="E5" s="7" t="s">
        <v>18</v>
      </c>
      <c r="F5" s="6">
        <v>1354.41</v>
      </c>
      <c r="H5" s="6">
        <v>51509.52</v>
      </c>
      <c r="K5" s="7" t="s">
        <v>148</v>
      </c>
      <c r="L5" s="6">
        <v>62559.839999999997</v>
      </c>
      <c r="N5" s="18" t="s">
        <v>44</v>
      </c>
      <c r="O5" s="18" t="s">
        <v>20</v>
      </c>
      <c r="P5" s="19" t="s">
        <v>21</v>
      </c>
      <c r="Q5" s="15">
        <v>11000.759999999998</v>
      </c>
    </row>
    <row r="6" spans="1:17">
      <c r="A6" t="s">
        <v>59</v>
      </c>
      <c r="B6" s="6">
        <v>79934.310000000012</v>
      </c>
      <c r="C6" s="6">
        <v>7993.4310000000014</v>
      </c>
      <c r="D6" s="7"/>
      <c r="E6" s="7" t="s">
        <v>24</v>
      </c>
      <c r="F6" s="6">
        <v>752.58</v>
      </c>
      <c r="K6" s="7" t="s">
        <v>149</v>
      </c>
      <c r="L6" s="6">
        <v>19909.03</v>
      </c>
      <c r="N6" s="18" t="s">
        <v>44</v>
      </c>
      <c r="O6" s="18" t="s">
        <v>42</v>
      </c>
      <c r="P6" s="17" t="s">
        <v>25</v>
      </c>
      <c r="Q6" s="15">
        <v>10686.59</v>
      </c>
    </row>
    <row r="7" spans="1:17">
      <c r="A7" t="s">
        <v>51</v>
      </c>
      <c r="B7" s="6">
        <v>15214.53</v>
      </c>
      <c r="C7" s="6">
        <v>1521.4530000000002</v>
      </c>
      <c r="D7" s="7"/>
      <c r="E7" s="7" t="s">
        <v>27</v>
      </c>
      <c r="F7" s="6">
        <v>948.39</v>
      </c>
      <c r="K7" s="7" t="s">
        <v>150</v>
      </c>
      <c r="L7" s="6">
        <v>44310.17</v>
      </c>
      <c r="N7" s="18" t="s">
        <v>44</v>
      </c>
      <c r="O7" s="18" t="s">
        <v>42</v>
      </c>
      <c r="P7" s="19" t="s">
        <v>21</v>
      </c>
      <c r="Q7" s="15">
        <v>6418.81</v>
      </c>
    </row>
    <row r="8" spans="1:17">
      <c r="A8" t="s">
        <v>36</v>
      </c>
      <c r="B8" s="6">
        <v>30250.13</v>
      </c>
      <c r="C8" s="6">
        <v>3025.0130000000004</v>
      </c>
      <c r="D8" s="7"/>
      <c r="E8" s="7" t="s">
        <v>31</v>
      </c>
      <c r="F8" s="6">
        <v>995.18</v>
      </c>
      <c r="K8" s="7" t="s">
        <v>151</v>
      </c>
      <c r="L8" s="6">
        <v>22554.239999999998</v>
      </c>
      <c r="N8" s="18" t="s">
        <v>44</v>
      </c>
      <c r="O8" s="18" t="s">
        <v>14</v>
      </c>
      <c r="P8" s="17" t="s">
        <v>15</v>
      </c>
      <c r="Q8" s="15">
        <v>330.66</v>
      </c>
    </row>
    <row r="9" spans="1:17">
      <c r="A9" t="s">
        <v>38</v>
      </c>
      <c r="B9" s="6">
        <v>64299.18</v>
      </c>
      <c r="C9" s="6">
        <v>6429.9180000000006</v>
      </c>
      <c r="D9" s="7"/>
      <c r="E9" s="7" t="s">
        <v>32</v>
      </c>
      <c r="F9" s="6">
        <v>1523.17</v>
      </c>
      <c r="K9" s="7" t="s">
        <v>152</v>
      </c>
      <c r="L9" s="6">
        <v>24101.27</v>
      </c>
      <c r="N9" s="18" t="s">
        <v>44</v>
      </c>
      <c r="O9" s="18" t="s">
        <v>14</v>
      </c>
      <c r="P9" s="19" t="s">
        <v>21</v>
      </c>
      <c r="Q9" s="15">
        <v>16396.84</v>
      </c>
    </row>
    <row r="10" spans="1:17">
      <c r="A10" t="s">
        <v>90</v>
      </c>
      <c r="B10" s="6">
        <v>27597.87</v>
      </c>
      <c r="C10" s="6">
        <v>2759.7870000000003</v>
      </c>
      <c r="D10" s="7"/>
      <c r="E10" s="7" t="s">
        <v>35</v>
      </c>
      <c r="F10" s="6">
        <v>780.61</v>
      </c>
      <c r="K10" s="7" t="s">
        <v>153</v>
      </c>
      <c r="L10" s="6">
        <v>33977.269999999997</v>
      </c>
      <c r="N10" s="18" t="s">
        <v>44</v>
      </c>
      <c r="O10" s="19" t="s">
        <v>39</v>
      </c>
      <c r="P10" s="13" t="s">
        <v>25</v>
      </c>
      <c r="Q10" s="15">
        <v>14120.86</v>
      </c>
    </row>
    <row r="11" spans="1:17">
      <c r="A11" t="s">
        <v>28</v>
      </c>
      <c r="B11" s="6">
        <v>59508.799999999996</v>
      </c>
      <c r="C11" s="6">
        <v>5950.88</v>
      </c>
      <c r="D11" s="7"/>
      <c r="E11" s="7" t="s">
        <v>37</v>
      </c>
      <c r="F11" s="6">
        <v>1489.34</v>
      </c>
      <c r="K11" s="7" t="s">
        <v>154</v>
      </c>
      <c r="L11" s="6">
        <v>50714.99</v>
      </c>
      <c r="N11" s="18" t="s">
        <v>13</v>
      </c>
      <c r="O11" s="17" t="s">
        <v>20</v>
      </c>
      <c r="P11" s="17" t="s">
        <v>25</v>
      </c>
      <c r="Q11" s="15">
        <v>14835.169999999998</v>
      </c>
    </row>
    <row r="12" spans="1:17">
      <c r="A12" t="s">
        <v>33</v>
      </c>
      <c r="B12" s="6">
        <v>57207.4</v>
      </c>
      <c r="C12" s="6">
        <v>5720.7400000000007</v>
      </c>
      <c r="D12" s="7"/>
      <c r="E12" s="7" t="s">
        <v>41</v>
      </c>
      <c r="F12" s="6">
        <v>401.46</v>
      </c>
      <c r="K12" s="7" t="s">
        <v>155</v>
      </c>
      <c r="L12" s="6">
        <v>42323.599999999991</v>
      </c>
      <c r="N12" s="18" t="s">
        <v>13</v>
      </c>
      <c r="O12" s="18" t="s">
        <v>20</v>
      </c>
      <c r="P12" s="19" t="s">
        <v>15</v>
      </c>
      <c r="Q12" s="15">
        <v>2314.2200000000003</v>
      </c>
    </row>
    <row r="13" spans="1:17">
      <c r="A13" t="s">
        <v>19</v>
      </c>
      <c r="B13" s="6">
        <v>35277.78</v>
      </c>
      <c r="C13" s="6">
        <v>3527.7780000000002</v>
      </c>
      <c r="D13" s="7"/>
      <c r="E13" s="7" t="s">
        <v>43</v>
      </c>
      <c r="F13" s="6">
        <v>467.05</v>
      </c>
      <c r="K13" s="7" t="s">
        <v>156</v>
      </c>
      <c r="L13" s="6">
        <v>47650.590000000004</v>
      </c>
      <c r="N13" s="18" t="s">
        <v>13</v>
      </c>
      <c r="O13" s="18" t="s">
        <v>42</v>
      </c>
      <c r="P13" s="13" t="s">
        <v>25</v>
      </c>
      <c r="Q13" s="15">
        <v>2600.9299999999998</v>
      </c>
    </row>
    <row r="14" spans="1:17">
      <c r="A14" t="s">
        <v>142</v>
      </c>
      <c r="B14" s="6">
        <v>491075.13</v>
      </c>
      <c r="C14" s="6">
        <v>49107.512999999992</v>
      </c>
      <c r="D14" s="7"/>
      <c r="E14" s="7" t="s">
        <v>46</v>
      </c>
      <c r="F14" s="6">
        <v>281.85000000000002</v>
      </c>
      <c r="K14" s="7" t="s">
        <v>157</v>
      </c>
      <c r="L14" s="6">
        <v>40175.599999999999</v>
      </c>
      <c r="N14" s="18" t="s">
        <v>13</v>
      </c>
      <c r="O14" s="18" t="s">
        <v>14</v>
      </c>
      <c r="P14" s="17" t="s">
        <v>25</v>
      </c>
      <c r="Q14" s="15">
        <v>1267.8900000000001</v>
      </c>
    </row>
    <row r="15" spans="1:17">
      <c r="D15" s="7"/>
      <c r="E15" s="7" t="s">
        <v>47</v>
      </c>
      <c r="F15" s="6">
        <v>203.74</v>
      </c>
      <c r="K15" s="7" t="s">
        <v>158</v>
      </c>
      <c r="L15" s="6">
        <v>55476.180000000008</v>
      </c>
      <c r="N15" s="18" t="s">
        <v>13</v>
      </c>
      <c r="O15" s="18" t="s">
        <v>14</v>
      </c>
      <c r="P15" s="19" t="s">
        <v>15</v>
      </c>
      <c r="Q15" s="15">
        <v>13640.63</v>
      </c>
    </row>
    <row r="16" spans="1:17">
      <c r="D16" s="7"/>
      <c r="E16" s="7" t="s">
        <v>49</v>
      </c>
      <c r="F16" s="6">
        <v>1235.5</v>
      </c>
      <c r="K16" s="7" t="s">
        <v>142</v>
      </c>
      <c r="L16" s="6">
        <v>491075.12999999995</v>
      </c>
      <c r="N16" s="18" t="s">
        <v>13</v>
      </c>
      <c r="O16" s="18" t="s">
        <v>39</v>
      </c>
      <c r="P16" s="17" t="s">
        <v>25</v>
      </c>
      <c r="Q16" s="15">
        <v>7064.98</v>
      </c>
    </row>
    <row r="17" spans="4:17">
      <c r="D17" s="7"/>
      <c r="E17" s="7" t="s">
        <v>50</v>
      </c>
      <c r="F17" s="6">
        <v>451.25</v>
      </c>
      <c r="N17" s="18" t="s">
        <v>13</v>
      </c>
      <c r="O17" s="18" t="s">
        <v>39</v>
      </c>
      <c r="P17" s="18" t="s">
        <v>15</v>
      </c>
      <c r="Q17" s="15">
        <v>4780.99</v>
      </c>
    </row>
    <row r="18" spans="4:17">
      <c r="D18" s="7"/>
      <c r="E18" s="7" t="s">
        <v>53</v>
      </c>
      <c r="F18" s="6">
        <v>119.49</v>
      </c>
      <c r="N18" s="18" t="s">
        <v>13</v>
      </c>
      <c r="O18" s="19" t="s">
        <v>39</v>
      </c>
      <c r="P18" s="19" t="s">
        <v>21</v>
      </c>
      <c r="Q18" s="15">
        <v>5004.71</v>
      </c>
    </row>
    <row r="19" spans="4:17">
      <c r="D19" s="7"/>
      <c r="E19" s="7" t="s">
        <v>54</v>
      </c>
      <c r="F19" s="6">
        <v>1645.93</v>
      </c>
      <c r="N19" s="18" t="s">
        <v>59</v>
      </c>
      <c r="O19" s="17" t="s">
        <v>20</v>
      </c>
      <c r="P19" s="17" t="s">
        <v>25</v>
      </c>
      <c r="Q19" s="15">
        <v>577.16999999999996</v>
      </c>
    </row>
    <row r="20" spans="4:17">
      <c r="D20" s="7"/>
      <c r="E20" s="7" t="s">
        <v>56</v>
      </c>
      <c r="F20" s="6">
        <v>449.99</v>
      </c>
      <c r="N20" s="18" t="s">
        <v>59</v>
      </c>
      <c r="O20" s="18" t="s">
        <v>20</v>
      </c>
      <c r="P20" s="18" t="s">
        <v>15</v>
      </c>
      <c r="Q20" s="15">
        <v>2519.3200000000002</v>
      </c>
    </row>
    <row r="21" spans="4:17">
      <c r="D21" s="7"/>
      <c r="E21" s="7" t="s">
        <v>57</v>
      </c>
      <c r="F21" s="6">
        <v>791.85</v>
      </c>
      <c r="N21" s="18" t="s">
        <v>59</v>
      </c>
      <c r="O21" s="18" t="s">
        <v>20</v>
      </c>
      <c r="P21" s="19" t="s">
        <v>21</v>
      </c>
      <c r="Q21" s="15">
        <v>1461.38</v>
      </c>
    </row>
    <row r="22" spans="4:17">
      <c r="D22" s="7"/>
      <c r="E22" s="7" t="s">
        <v>58</v>
      </c>
      <c r="F22" s="6">
        <v>863.07</v>
      </c>
      <c r="N22" s="18" t="s">
        <v>59</v>
      </c>
      <c r="O22" s="18" t="s">
        <v>42</v>
      </c>
      <c r="P22" s="17" t="s">
        <v>25</v>
      </c>
      <c r="Q22" s="15">
        <v>11817.119999999999</v>
      </c>
    </row>
    <row r="23" spans="4:17">
      <c r="D23" s="7"/>
      <c r="E23" s="7" t="s">
        <v>60</v>
      </c>
      <c r="F23" s="6">
        <v>1185.21</v>
      </c>
      <c r="N23" s="18" t="s">
        <v>59</v>
      </c>
      <c r="O23" s="18" t="s">
        <v>42</v>
      </c>
      <c r="P23" s="19" t="s">
        <v>15</v>
      </c>
      <c r="Q23" s="15">
        <v>20258.150000000001</v>
      </c>
    </row>
    <row r="24" spans="4:17">
      <c r="D24" s="7"/>
      <c r="E24" s="7" t="s">
        <v>61</v>
      </c>
      <c r="F24" s="6">
        <v>363.14</v>
      </c>
      <c r="N24" s="18" t="s">
        <v>59</v>
      </c>
      <c r="O24" s="18" t="s">
        <v>14</v>
      </c>
      <c r="P24" s="17" t="s">
        <v>25</v>
      </c>
      <c r="Q24" s="15">
        <v>5203.97</v>
      </c>
    </row>
    <row r="25" spans="4:17">
      <c r="D25" s="7"/>
      <c r="E25" s="7" t="s">
        <v>62</v>
      </c>
      <c r="F25" s="6">
        <v>103.22</v>
      </c>
      <c r="N25" s="18" t="s">
        <v>59</v>
      </c>
      <c r="O25" s="18" t="s">
        <v>14</v>
      </c>
      <c r="P25" s="18" t="s">
        <v>15</v>
      </c>
      <c r="Q25" s="15">
        <v>7756.51</v>
      </c>
    </row>
    <row r="26" spans="4:17">
      <c r="D26" s="7"/>
      <c r="E26" s="7" t="s">
        <v>63</v>
      </c>
      <c r="F26" s="6">
        <v>2889.4</v>
      </c>
      <c r="N26" s="18" t="s">
        <v>59</v>
      </c>
      <c r="O26" s="18" t="s">
        <v>14</v>
      </c>
      <c r="P26" s="19" t="s">
        <v>21</v>
      </c>
      <c r="Q26" s="15">
        <v>5666.71</v>
      </c>
    </row>
    <row r="27" spans="4:17">
      <c r="D27" s="7"/>
      <c r="E27" s="7" t="s">
        <v>64</v>
      </c>
      <c r="F27" s="6">
        <v>65.86</v>
      </c>
      <c r="N27" s="18" t="s">
        <v>59</v>
      </c>
      <c r="O27" s="18" t="s">
        <v>39</v>
      </c>
      <c r="P27" s="17" t="s">
        <v>25</v>
      </c>
      <c r="Q27" s="15">
        <v>5896.13</v>
      </c>
    </row>
    <row r="28" spans="4:17">
      <c r="D28" s="7"/>
      <c r="E28" s="7" t="s">
        <v>65</v>
      </c>
      <c r="F28" s="6">
        <v>407.17</v>
      </c>
      <c r="N28" s="18" t="s">
        <v>59</v>
      </c>
      <c r="O28" s="19" t="s">
        <v>39</v>
      </c>
      <c r="P28" s="19" t="s">
        <v>15</v>
      </c>
      <c r="Q28" s="15">
        <v>18777.849999999999</v>
      </c>
    </row>
    <row r="29" spans="4:17">
      <c r="D29" s="7"/>
      <c r="E29" s="7" t="s">
        <v>66</v>
      </c>
      <c r="F29" s="6">
        <v>618.64</v>
      </c>
      <c r="N29" s="18" t="s">
        <v>51</v>
      </c>
      <c r="O29" s="17" t="s">
        <v>20</v>
      </c>
      <c r="P29" s="13" t="s">
        <v>15</v>
      </c>
      <c r="Q29" s="15">
        <v>7918.02</v>
      </c>
    </row>
    <row r="30" spans="4:17">
      <c r="D30" s="7"/>
      <c r="E30" s="7" t="s">
        <v>67</v>
      </c>
      <c r="F30" s="6">
        <v>621.52</v>
      </c>
      <c r="N30" s="18" t="s">
        <v>51</v>
      </c>
      <c r="O30" s="18" t="s">
        <v>14</v>
      </c>
      <c r="P30" s="13" t="s">
        <v>15</v>
      </c>
      <c r="Q30" s="15">
        <v>2149.91</v>
      </c>
    </row>
    <row r="31" spans="4:17">
      <c r="D31" s="7"/>
      <c r="E31" s="7" t="s">
        <v>68</v>
      </c>
      <c r="F31" s="6">
        <v>285.63</v>
      </c>
      <c r="N31" s="18" t="s">
        <v>51</v>
      </c>
      <c r="O31" s="19" t="s">
        <v>39</v>
      </c>
      <c r="P31" s="13" t="s">
        <v>25</v>
      </c>
      <c r="Q31" s="15">
        <v>5146.6000000000004</v>
      </c>
    </row>
    <row r="32" spans="4:17">
      <c r="D32" s="7"/>
      <c r="E32" s="7" t="s">
        <v>69</v>
      </c>
      <c r="F32" s="6">
        <v>466.54</v>
      </c>
      <c r="N32" s="18" t="s">
        <v>36</v>
      </c>
      <c r="O32" s="17" t="s">
        <v>20</v>
      </c>
      <c r="P32" s="17" t="s">
        <v>25</v>
      </c>
      <c r="Q32" s="15">
        <v>376.77</v>
      </c>
    </row>
    <row r="33" spans="4:17">
      <c r="D33" s="7"/>
      <c r="E33" s="7" t="s">
        <v>70</v>
      </c>
      <c r="F33" s="6">
        <v>581.16999999999996</v>
      </c>
      <c r="N33" s="18" t="s">
        <v>36</v>
      </c>
      <c r="O33" s="18" t="s">
        <v>20</v>
      </c>
      <c r="P33" s="19" t="s">
        <v>15</v>
      </c>
      <c r="Q33" s="15">
        <v>10182.68</v>
      </c>
    </row>
    <row r="34" spans="4:17">
      <c r="D34" s="7"/>
      <c r="E34" s="7" t="s">
        <v>71</v>
      </c>
      <c r="F34" s="6">
        <v>74.52</v>
      </c>
      <c r="N34" s="18" t="s">
        <v>36</v>
      </c>
      <c r="O34" s="18" t="s">
        <v>14</v>
      </c>
      <c r="P34" s="13" t="s">
        <v>21</v>
      </c>
      <c r="Q34" s="15">
        <v>7462.04</v>
      </c>
    </row>
    <row r="35" spans="4:17">
      <c r="D35" s="7"/>
      <c r="E35" s="7" t="s">
        <v>72</v>
      </c>
      <c r="F35" s="6">
        <v>435.27</v>
      </c>
      <c r="N35" s="18" t="s">
        <v>36</v>
      </c>
      <c r="O35" s="18" t="s">
        <v>39</v>
      </c>
      <c r="P35" s="17" t="s">
        <v>25</v>
      </c>
      <c r="Q35" s="15">
        <v>3891.04</v>
      </c>
    </row>
    <row r="36" spans="4:17">
      <c r="D36" s="7"/>
      <c r="E36" s="7" t="s">
        <v>73</v>
      </c>
      <c r="F36" s="6">
        <v>147.83000000000001</v>
      </c>
      <c r="N36" s="18" t="s">
        <v>36</v>
      </c>
      <c r="O36" s="18" t="s">
        <v>39</v>
      </c>
      <c r="P36" s="18" t="s">
        <v>15</v>
      </c>
      <c r="Q36" s="15">
        <v>1996.06</v>
      </c>
    </row>
    <row r="37" spans="4:17">
      <c r="D37" s="7"/>
      <c r="E37" s="7" t="s">
        <v>74</v>
      </c>
      <c r="F37" s="6">
        <v>664.43</v>
      </c>
      <c r="N37" s="18" t="s">
        <v>36</v>
      </c>
      <c r="O37" s="19" t="s">
        <v>39</v>
      </c>
      <c r="P37" s="19" t="s">
        <v>21</v>
      </c>
      <c r="Q37" s="15">
        <v>6341.54</v>
      </c>
    </row>
    <row r="38" spans="4:17">
      <c r="D38" s="7"/>
      <c r="E38" s="7" t="s">
        <v>75</v>
      </c>
      <c r="F38" s="6">
        <v>694.77</v>
      </c>
      <c r="N38" s="18" t="s">
        <v>38</v>
      </c>
      <c r="O38" s="17" t="s">
        <v>20</v>
      </c>
      <c r="P38" s="17" t="s">
        <v>25</v>
      </c>
      <c r="Q38" s="15">
        <v>1163.1199999999999</v>
      </c>
    </row>
    <row r="39" spans="4:17">
      <c r="D39" s="7"/>
      <c r="E39" s="7" t="s">
        <v>76</v>
      </c>
      <c r="F39" s="6">
        <v>827.73</v>
      </c>
      <c r="N39" s="18" t="s">
        <v>38</v>
      </c>
      <c r="O39" s="18" t="s">
        <v>20</v>
      </c>
      <c r="P39" s="19" t="s">
        <v>21</v>
      </c>
      <c r="Q39" s="15">
        <v>20411.989999999998</v>
      </c>
    </row>
    <row r="40" spans="4:17">
      <c r="D40" s="7"/>
      <c r="E40" s="7" t="s">
        <v>77</v>
      </c>
      <c r="F40" s="6">
        <v>839.54</v>
      </c>
      <c r="N40" s="18" t="s">
        <v>38</v>
      </c>
      <c r="O40" s="18" t="s">
        <v>42</v>
      </c>
      <c r="P40" s="17" t="s">
        <v>25</v>
      </c>
      <c r="Q40" s="15">
        <v>6344.46</v>
      </c>
    </row>
    <row r="41" spans="4:17">
      <c r="D41" s="7"/>
      <c r="E41" s="7" t="s">
        <v>78</v>
      </c>
      <c r="F41" s="6">
        <v>176.23</v>
      </c>
      <c r="N41" s="18" t="s">
        <v>38</v>
      </c>
      <c r="O41" s="18" t="s">
        <v>42</v>
      </c>
      <c r="P41" s="19" t="s">
        <v>15</v>
      </c>
      <c r="Q41" s="15">
        <v>11483.18</v>
      </c>
    </row>
    <row r="42" spans="4:17">
      <c r="D42" s="7"/>
      <c r="E42" s="7" t="s">
        <v>79</v>
      </c>
      <c r="F42" s="6">
        <v>111.22</v>
      </c>
      <c r="N42" s="18" t="s">
        <v>38</v>
      </c>
      <c r="O42" s="18" t="s">
        <v>14</v>
      </c>
      <c r="P42" s="13" t="s">
        <v>25</v>
      </c>
      <c r="Q42" s="15">
        <v>233.71</v>
      </c>
    </row>
    <row r="43" spans="4:17">
      <c r="D43" s="7"/>
      <c r="E43" s="7" t="s">
        <v>80</v>
      </c>
      <c r="F43" s="6">
        <v>205.45</v>
      </c>
      <c r="N43" s="18" t="s">
        <v>38</v>
      </c>
      <c r="O43" s="18" t="s">
        <v>39</v>
      </c>
      <c r="P43" s="17" t="s">
        <v>25</v>
      </c>
      <c r="Q43" s="15">
        <v>8238.2099999999991</v>
      </c>
    </row>
    <row r="44" spans="4:17">
      <c r="D44" s="7"/>
      <c r="E44" s="7" t="s">
        <v>81</v>
      </c>
      <c r="F44" s="6">
        <v>585.55999999999995</v>
      </c>
      <c r="N44" s="18" t="s">
        <v>38</v>
      </c>
      <c r="O44" s="19" t="s">
        <v>39</v>
      </c>
      <c r="P44" s="19" t="s">
        <v>15</v>
      </c>
      <c r="Q44" s="15">
        <v>16424.510000000002</v>
      </c>
    </row>
    <row r="45" spans="4:17">
      <c r="D45" s="7"/>
      <c r="E45" s="7" t="s">
        <v>82</v>
      </c>
      <c r="F45" s="6">
        <v>393.6</v>
      </c>
      <c r="N45" s="18" t="s">
        <v>90</v>
      </c>
      <c r="O45" s="17" t="s">
        <v>20</v>
      </c>
      <c r="P45" s="17" t="s">
        <v>15</v>
      </c>
      <c r="Q45" s="15">
        <v>1455.62</v>
      </c>
    </row>
    <row r="46" spans="4:17">
      <c r="D46" s="7"/>
      <c r="E46" s="7" t="s">
        <v>83</v>
      </c>
      <c r="F46" s="6">
        <v>619.95000000000005</v>
      </c>
      <c r="N46" s="18" t="s">
        <v>90</v>
      </c>
      <c r="O46" s="18" t="s">
        <v>20</v>
      </c>
      <c r="P46" s="19" t="s">
        <v>21</v>
      </c>
      <c r="Q46" s="15">
        <v>3420.38</v>
      </c>
    </row>
    <row r="47" spans="4:17">
      <c r="D47" s="7"/>
      <c r="E47" s="7" t="s">
        <v>84</v>
      </c>
      <c r="F47" s="6">
        <v>72.989999999999995</v>
      </c>
      <c r="N47" s="18" t="s">
        <v>90</v>
      </c>
      <c r="O47" s="18" t="s">
        <v>42</v>
      </c>
      <c r="P47" s="17" t="s">
        <v>25</v>
      </c>
      <c r="Q47" s="15">
        <v>13451.619999999999</v>
      </c>
    </row>
    <row r="48" spans="4:17">
      <c r="D48" s="7"/>
      <c r="E48" s="7" t="s">
        <v>85</v>
      </c>
      <c r="F48" s="6">
        <v>225.91</v>
      </c>
      <c r="N48" s="18" t="s">
        <v>90</v>
      </c>
      <c r="O48" s="18" t="s">
        <v>42</v>
      </c>
      <c r="P48" s="19" t="s">
        <v>15</v>
      </c>
      <c r="Q48" s="15">
        <v>7129.57</v>
      </c>
    </row>
    <row r="49" spans="4:17">
      <c r="D49" s="7"/>
      <c r="E49" s="7" t="s">
        <v>86</v>
      </c>
      <c r="F49" s="6">
        <v>777.36</v>
      </c>
      <c r="N49" s="18" t="s">
        <v>90</v>
      </c>
      <c r="O49" s="19" t="s">
        <v>39</v>
      </c>
      <c r="P49" s="13" t="s">
        <v>25</v>
      </c>
      <c r="Q49" s="15">
        <v>2140.6799999999998</v>
      </c>
    </row>
    <row r="50" spans="4:17">
      <c r="D50" s="7"/>
      <c r="E50" s="7" t="s">
        <v>87</v>
      </c>
      <c r="F50" s="6">
        <v>283.43</v>
      </c>
      <c r="N50" s="18" t="s">
        <v>28</v>
      </c>
      <c r="O50" s="17" t="s">
        <v>20</v>
      </c>
      <c r="P50" s="17" t="s">
        <v>25</v>
      </c>
      <c r="Q50" s="15">
        <v>13982.15</v>
      </c>
    </row>
    <row r="51" spans="4:17">
      <c r="D51" s="7"/>
      <c r="E51" s="7" t="s">
        <v>88</v>
      </c>
      <c r="F51" s="6">
        <v>1170.81</v>
      </c>
      <c r="N51" s="18" t="s">
        <v>28</v>
      </c>
      <c r="O51" s="18" t="s">
        <v>20</v>
      </c>
      <c r="P51" s="19" t="s">
        <v>21</v>
      </c>
      <c r="Q51" s="15">
        <v>17660.46</v>
      </c>
    </row>
    <row r="52" spans="4:17">
      <c r="D52" s="7"/>
      <c r="E52" s="7" t="s">
        <v>89</v>
      </c>
      <c r="F52" s="6">
        <v>620.02</v>
      </c>
      <c r="N52" s="18" t="s">
        <v>28</v>
      </c>
      <c r="O52" s="18" t="s">
        <v>42</v>
      </c>
      <c r="P52" s="13" t="s">
        <v>15</v>
      </c>
      <c r="Q52" s="15">
        <v>2306.81</v>
      </c>
    </row>
    <row r="53" spans="4:17">
      <c r="D53" s="7"/>
      <c r="E53" s="7" t="s">
        <v>91</v>
      </c>
      <c r="F53" s="6">
        <v>277.58999999999997</v>
      </c>
      <c r="N53" s="18" t="s">
        <v>28</v>
      </c>
      <c r="O53" s="18" t="s">
        <v>14</v>
      </c>
      <c r="P53" s="17" t="s">
        <v>25</v>
      </c>
      <c r="Q53" s="15">
        <v>3547.4399999999996</v>
      </c>
    </row>
    <row r="54" spans="4:17">
      <c r="D54" s="7"/>
      <c r="E54" s="7" t="s">
        <v>92</v>
      </c>
      <c r="F54" s="6">
        <v>2508.6799999999998</v>
      </c>
      <c r="N54" s="18" t="s">
        <v>28</v>
      </c>
      <c r="O54" s="18" t="s">
        <v>14</v>
      </c>
      <c r="P54" s="18" t="s">
        <v>15</v>
      </c>
      <c r="Q54" s="15">
        <v>5248.92</v>
      </c>
    </row>
    <row r="55" spans="4:17">
      <c r="D55" s="7"/>
      <c r="E55" s="7" t="s">
        <v>93</v>
      </c>
      <c r="F55" s="6">
        <v>826.58</v>
      </c>
      <c r="N55" s="18" t="s">
        <v>28</v>
      </c>
      <c r="O55" s="18" t="s">
        <v>14</v>
      </c>
      <c r="P55" s="19" t="s">
        <v>21</v>
      </c>
      <c r="Q55" s="15">
        <v>7048.31</v>
      </c>
    </row>
    <row r="56" spans="4:17">
      <c r="D56" s="7"/>
      <c r="E56" s="7" t="s">
        <v>94</v>
      </c>
      <c r="F56" s="6">
        <v>24.69</v>
      </c>
      <c r="N56" s="18" t="s">
        <v>28</v>
      </c>
      <c r="O56" s="19" t="s">
        <v>39</v>
      </c>
      <c r="P56" s="13" t="s">
        <v>21</v>
      </c>
      <c r="Q56" s="15">
        <v>9714.7099999999991</v>
      </c>
    </row>
    <row r="57" spans="4:17">
      <c r="D57" s="7"/>
      <c r="E57" s="7" t="s">
        <v>95</v>
      </c>
      <c r="F57" s="6">
        <v>945.17</v>
      </c>
      <c r="N57" s="18" t="s">
        <v>33</v>
      </c>
      <c r="O57" s="17" t="s">
        <v>20</v>
      </c>
      <c r="P57" s="17" t="s">
        <v>25</v>
      </c>
      <c r="Q57" s="15">
        <v>11403.67</v>
      </c>
    </row>
    <row r="58" spans="4:17">
      <c r="D58" s="7"/>
      <c r="E58" s="7" t="s">
        <v>96</v>
      </c>
      <c r="F58" s="6">
        <v>1615.13</v>
      </c>
      <c r="N58" s="18" t="s">
        <v>33</v>
      </c>
      <c r="O58" s="18" t="s">
        <v>20</v>
      </c>
      <c r="P58" s="19" t="s">
        <v>15</v>
      </c>
      <c r="Q58" s="15">
        <v>13244.17</v>
      </c>
    </row>
    <row r="59" spans="4:17">
      <c r="D59" s="7"/>
      <c r="E59" s="7" t="s">
        <v>97</v>
      </c>
      <c r="F59" s="6">
        <v>95.32</v>
      </c>
      <c r="N59" s="18" t="s">
        <v>33</v>
      </c>
      <c r="O59" s="18" t="s">
        <v>42</v>
      </c>
      <c r="P59" s="17" t="s">
        <v>25</v>
      </c>
      <c r="Q59" s="15">
        <v>1012.04</v>
      </c>
    </row>
    <row r="60" spans="4:17">
      <c r="D60" s="7"/>
      <c r="E60" s="7" t="s">
        <v>98</v>
      </c>
      <c r="F60" s="6">
        <v>2401.69</v>
      </c>
      <c r="N60" s="18" t="s">
        <v>33</v>
      </c>
      <c r="O60" s="18" t="s">
        <v>42</v>
      </c>
      <c r="P60" s="19" t="s">
        <v>21</v>
      </c>
      <c r="Q60" s="15">
        <v>11560.220000000001</v>
      </c>
    </row>
    <row r="61" spans="4:17">
      <c r="D61" s="7"/>
      <c r="E61" s="7" t="s">
        <v>99</v>
      </c>
      <c r="F61" s="6">
        <v>2054.54</v>
      </c>
      <c r="N61" s="18" t="s">
        <v>33</v>
      </c>
      <c r="O61" s="18" t="s">
        <v>14</v>
      </c>
      <c r="P61" s="17" t="s">
        <v>25</v>
      </c>
      <c r="Q61" s="15">
        <v>6809.12</v>
      </c>
    </row>
    <row r="62" spans="4:17">
      <c r="D62" s="7"/>
      <c r="E62" s="7" t="s">
        <v>100</v>
      </c>
      <c r="F62" s="6">
        <v>763.87</v>
      </c>
      <c r="N62" s="18" t="s">
        <v>33</v>
      </c>
      <c r="O62" s="18" t="s">
        <v>14</v>
      </c>
      <c r="P62" s="19" t="s">
        <v>21</v>
      </c>
      <c r="Q62" s="15">
        <v>12337.740000000002</v>
      </c>
    </row>
    <row r="63" spans="4:17">
      <c r="D63" s="7"/>
      <c r="E63" s="7" t="s">
        <v>101</v>
      </c>
      <c r="F63" s="6">
        <v>320.2</v>
      </c>
      <c r="N63" s="18" t="s">
        <v>33</v>
      </c>
      <c r="O63" s="19" t="s">
        <v>39</v>
      </c>
      <c r="P63" s="13" t="s">
        <v>21</v>
      </c>
      <c r="Q63" s="15">
        <v>840.44</v>
      </c>
    </row>
    <row r="64" spans="4:17">
      <c r="D64" s="7"/>
      <c r="E64" s="7" t="s">
        <v>102</v>
      </c>
      <c r="F64" s="6">
        <v>942.62</v>
      </c>
      <c r="N64" s="18" t="s">
        <v>19</v>
      </c>
      <c r="O64" s="17" t="s">
        <v>20</v>
      </c>
      <c r="P64" s="13" t="s">
        <v>21</v>
      </c>
      <c r="Q64" s="15">
        <v>11218.630000000001</v>
      </c>
    </row>
    <row r="65" spans="4:17">
      <c r="D65" s="7"/>
      <c r="E65" s="7" t="s">
        <v>103</v>
      </c>
      <c r="F65" s="6">
        <v>1080.18</v>
      </c>
      <c r="N65" s="18" t="s">
        <v>19</v>
      </c>
      <c r="O65" s="18" t="s">
        <v>14</v>
      </c>
      <c r="P65" s="13" t="s">
        <v>21</v>
      </c>
      <c r="Q65" s="15">
        <v>4349.3100000000004</v>
      </c>
    </row>
    <row r="66" spans="4:17">
      <c r="D66" s="7"/>
      <c r="E66" s="7" t="s">
        <v>104</v>
      </c>
      <c r="F66" s="6">
        <v>730.57</v>
      </c>
      <c r="N66" s="18" t="s">
        <v>19</v>
      </c>
      <c r="O66" s="18" t="s">
        <v>39</v>
      </c>
      <c r="P66" s="17" t="s">
        <v>15</v>
      </c>
      <c r="Q66" s="15">
        <v>6997.11</v>
      </c>
    </row>
    <row r="67" spans="4:17">
      <c r="D67" s="7"/>
      <c r="E67" s="7" t="s">
        <v>105</v>
      </c>
      <c r="F67" s="6">
        <v>779.35</v>
      </c>
      <c r="N67" s="19" t="s">
        <v>19</v>
      </c>
      <c r="O67" s="19" t="s">
        <v>39</v>
      </c>
      <c r="P67" s="19" t="s">
        <v>21</v>
      </c>
      <c r="Q67" s="15">
        <v>12712.73</v>
      </c>
    </row>
    <row r="68" spans="4:17">
      <c r="D68" s="7"/>
      <c r="E68" s="7" t="s">
        <v>106</v>
      </c>
      <c r="F68" s="6">
        <v>569.77</v>
      </c>
      <c r="N68" s="20" t="s">
        <v>142</v>
      </c>
      <c r="O68" s="21"/>
      <c r="P68" s="22"/>
      <c r="Q68" s="16">
        <v>491075.13</v>
      </c>
    </row>
    <row r="69" spans="4:17">
      <c r="D69" s="7"/>
      <c r="E69" s="7" t="s">
        <v>107</v>
      </c>
      <c r="F69" s="6">
        <v>95.21</v>
      </c>
    </row>
    <row r="70" spans="4:17">
      <c r="D70" s="7"/>
      <c r="E70" s="7" t="s">
        <v>108</v>
      </c>
      <c r="F70" s="6">
        <v>266.91000000000003</v>
      </c>
    </row>
    <row r="71" spans="4:17">
      <c r="D71" s="7"/>
      <c r="E71" s="7" t="s">
        <v>109</v>
      </c>
      <c r="F71" s="6">
        <v>140.71</v>
      </c>
    </row>
    <row r="72" spans="4:17">
      <c r="D72" s="7"/>
      <c r="E72" s="7" t="s">
        <v>110</v>
      </c>
      <c r="F72" s="6">
        <v>203.92</v>
      </c>
    </row>
    <row r="73" spans="4:17">
      <c r="D73" s="7"/>
      <c r="E73" s="7" t="s">
        <v>111</v>
      </c>
      <c r="F73" s="6">
        <v>1074.45</v>
      </c>
    </row>
    <row r="74" spans="4:17">
      <c r="D74" s="7"/>
      <c r="E74" s="7" t="s">
        <v>112</v>
      </c>
      <c r="F74" s="6">
        <v>1802.75</v>
      </c>
    </row>
    <row r="75" spans="4:17">
      <c r="D75" s="7"/>
      <c r="E75" s="7" t="s">
        <v>113</v>
      </c>
      <c r="F75" s="6">
        <v>304.45999999999998</v>
      </c>
    </row>
    <row r="76" spans="4:17">
      <c r="D76" s="7"/>
      <c r="E76" s="7" t="s">
        <v>114</v>
      </c>
      <c r="F76" s="6">
        <v>168.14</v>
      </c>
    </row>
    <row r="77" spans="4:17">
      <c r="D77" s="7"/>
      <c r="E77" s="7" t="s">
        <v>115</v>
      </c>
      <c r="F77" s="6">
        <v>673.26</v>
      </c>
    </row>
    <row r="78" spans="4:17">
      <c r="D78" s="7"/>
      <c r="E78" s="7" t="s">
        <v>116</v>
      </c>
      <c r="F78" s="6">
        <v>666.68</v>
      </c>
    </row>
    <row r="79" spans="4:17">
      <c r="D79" s="7"/>
      <c r="E79" s="7" t="s">
        <v>117</v>
      </c>
      <c r="F79" s="6">
        <v>694.11</v>
      </c>
    </row>
    <row r="80" spans="4:17">
      <c r="D80" s="7"/>
      <c r="E80" s="7" t="s">
        <v>118</v>
      </c>
      <c r="F80" s="6">
        <v>134.80000000000001</v>
      </c>
    </row>
    <row r="81" spans="4:6">
      <c r="D81" s="7"/>
      <c r="E81" s="7" t="s">
        <v>119</v>
      </c>
      <c r="F81" s="6">
        <v>295.83</v>
      </c>
    </row>
    <row r="82" spans="4:6">
      <c r="D82" s="7"/>
      <c r="E82" s="7" t="s">
        <v>120</v>
      </c>
      <c r="F82" s="6">
        <v>550.02</v>
      </c>
    </row>
    <row r="83" spans="4:6">
      <c r="D83" s="7"/>
      <c r="E83" s="7" t="s">
        <v>121</v>
      </c>
      <c r="F83" s="6">
        <v>44.53</v>
      </c>
    </row>
    <row r="84" spans="4:6">
      <c r="D84" s="7"/>
      <c r="E84" s="7" t="s">
        <v>122</v>
      </c>
      <c r="F84" s="6">
        <v>1861.48</v>
      </c>
    </row>
    <row r="85" spans="4:6">
      <c r="D85" s="7"/>
      <c r="E85" s="7" t="s">
        <v>123</v>
      </c>
      <c r="F85" s="6">
        <v>695.74</v>
      </c>
    </row>
    <row r="86" spans="4:6">
      <c r="D86" s="7"/>
      <c r="E86" s="7" t="s">
        <v>124</v>
      </c>
      <c r="F86" s="6">
        <v>631.78</v>
      </c>
    </row>
    <row r="87" spans="4:6">
      <c r="D87" s="7"/>
      <c r="E87" s="7" t="s">
        <v>125</v>
      </c>
      <c r="F87" s="6">
        <v>2309.83</v>
      </c>
    </row>
    <row r="88" spans="4:6">
      <c r="D88" s="7"/>
      <c r="E88" s="7" t="s">
        <v>126</v>
      </c>
      <c r="F88" s="6">
        <v>806.6</v>
      </c>
    </row>
    <row r="89" spans="4:6">
      <c r="D89" s="7"/>
      <c r="E89" s="7" t="s">
        <v>127</v>
      </c>
      <c r="F89" s="6">
        <v>1199.04</v>
      </c>
    </row>
    <row r="90" spans="4:6">
      <c r="D90" s="7"/>
      <c r="E90" s="7" t="s">
        <v>128</v>
      </c>
      <c r="F90" s="6">
        <v>389.43</v>
      </c>
    </row>
    <row r="91" spans="4:6">
      <c r="D91" s="7"/>
      <c r="E91" s="7" t="s">
        <v>129</v>
      </c>
      <c r="F91" s="6">
        <v>2352.44</v>
      </c>
    </row>
    <row r="92" spans="4:6">
      <c r="D92" s="7"/>
      <c r="E92" s="7" t="s">
        <v>130</v>
      </c>
      <c r="F92" s="6">
        <v>572.69000000000005</v>
      </c>
    </row>
    <row r="93" spans="4:6">
      <c r="D93" s="7"/>
      <c r="E93" s="7" t="s">
        <v>131</v>
      </c>
      <c r="F93" s="6">
        <v>894.87</v>
      </c>
    </row>
    <row r="94" spans="4:6">
      <c r="D94" s="7"/>
      <c r="E94" s="7" t="s">
        <v>132</v>
      </c>
      <c r="F94" s="6">
        <v>1546.37</v>
      </c>
    </row>
    <row r="95" spans="4:6">
      <c r="D95" s="7"/>
      <c r="E95" s="7" t="s">
        <v>133</v>
      </c>
      <c r="F95" s="6">
        <v>1840.51</v>
      </c>
    </row>
    <row r="96" spans="4:6">
      <c r="D96" s="7"/>
      <c r="E96" s="7" t="s">
        <v>134</v>
      </c>
      <c r="F96" s="6">
        <v>94.08</v>
      </c>
    </row>
    <row r="97" spans="4:6">
      <c r="D97" s="7"/>
      <c r="E97" s="7" t="s">
        <v>135</v>
      </c>
      <c r="F97" s="6">
        <v>104.58</v>
      </c>
    </row>
    <row r="98" spans="4:6">
      <c r="D98" s="7"/>
      <c r="E98" s="7" t="s">
        <v>136</v>
      </c>
      <c r="F98" s="6">
        <v>424.92</v>
      </c>
    </row>
    <row r="99" spans="4:6">
      <c r="D99" s="7"/>
      <c r="E99" s="7" t="s">
        <v>137</v>
      </c>
      <c r="F99" s="6">
        <v>150.33000000000001</v>
      </c>
    </row>
    <row r="100" spans="4:6">
      <c r="D100" s="7"/>
      <c r="E100" s="7" t="s">
        <v>138</v>
      </c>
      <c r="F100" s="6">
        <v>107.73</v>
      </c>
    </row>
    <row r="101" spans="4:6">
      <c r="D101" s="7"/>
      <c r="E101" s="7" t="s">
        <v>139</v>
      </c>
      <c r="F101" s="6">
        <v>2332.4299999999998</v>
      </c>
    </row>
    <row r="102" spans="4:6">
      <c r="D102" s="7"/>
      <c r="E102" s="7" t="s">
        <v>140</v>
      </c>
      <c r="F102" s="6">
        <v>1232.04</v>
      </c>
    </row>
    <row r="103" spans="4:6">
      <c r="D103" s="7"/>
      <c r="E103" s="7" t="s">
        <v>141</v>
      </c>
      <c r="F103" s="6">
        <v>1361.69</v>
      </c>
    </row>
    <row r="104" spans="4:6">
      <c r="D104" s="7"/>
      <c r="E104" s="7" t="s">
        <v>142</v>
      </c>
      <c r="F104" s="6">
        <v>76193.76999999999</v>
      </c>
    </row>
  </sheetData>
  <pageMargins left="0.75" right="0.75" top="1" bottom="1" header="0.5" footer="0.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56A7-2385-4FB9-9DB8-8E00A42D643B}">
  <dimension ref="A1:G112"/>
  <sheetViews>
    <sheetView workbookViewId="0">
      <selection activeCell="I5" sqref="I5"/>
    </sheetView>
  </sheetViews>
  <sheetFormatPr defaultRowHeight="15"/>
  <cols>
    <col min="1" max="1" width="20.28515625" bestFit="1" customWidth="1"/>
    <col min="2" max="2" width="17.28515625" bestFit="1" customWidth="1"/>
    <col min="4" max="4" width="17.7109375" bestFit="1" customWidth="1"/>
    <col min="5" max="5" width="9.42578125" bestFit="1" customWidth="1"/>
    <col min="6" max="6" width="14.5703125" bestFit="1" customWidth="1"/>
    <col min="7" max="7" width="17.28515625" bestFit="1" customWidth="1"/>
  </cols>
  <sheetData>
    <row r="1" spans="1:7">
      <c r="A1" s="5" t="s">
        <v>144</v>
      </c>
      <c r="B1" t="s">
        <v>143</v>
      </c>
      <c r="D1" s="12" t="s">
        <v>2</v>
      </c>
      <c r="E1" s="12" t="s">
        <v>3</v>
      </c>
      <c r="F1" s="12" t="s">
        <v>4</v>
      </c>
      <c r="G1" s="13" t="s">
        <v>143</v>
      </c>
    </row>
    <row r="2" spans="1:7">
      <c r="A2" s="7" t="s">
        <v>44</v>
      </c>
      <c r="B2" s="6"/>
      <c r="D2" s="17" t="s">
        <v>44</v>
      </c>
      <c r="E2" s="17" t="s">
        <v>20</v>
      </c>
      <c r="F2" s="17" t="s">
        <v>25</v>
      </c>
      <c r="G2" s="14">
        <v>11321.09</v>
      </c>
    </row>
    <row r="3" spans="1:7">
      <c r="A3" s="10" t="s">
        <v>20</v>
      </c>
      <c r="B3" s="6"/>
      <c r="D3" s="18" t="s">
        <v>44</v>
      </c>
      <c r="E3" s="18" t="s">
        <v>20</v>
      </c>
      <c r="F3" s="19" t="s">
        <v>21</v>
      </c>
      <c r="G3" s="15">
        <v>11000.759999999998</v>
      </c>
    </row>
    <row r="4" spans="1:7">
      <c r="A4" s="11" t="s">
        <v>25</v>
      </c>
      <c r="B4" s="6">
        <v>11321.09</v>
      </c>
      <c r="D4" s="18" t="s">
        <v>44</v>
      </c>
      <c r="E4" s="18" t="s">
        <v>42</v>
      </c>
      <c r="F4" s="17" t="s">
        <v>25</v>
      </c>
      <c r="G4" s="15">
        <v>10686.59</v>
      </c>
    </row>
    <row r="5" spans="1:7">
      <c r="A5" s="11" t="s">
        <v>21</v>
      </c>
      <c r="B5" s="6">
        <v>11000.759999999998</v>
      </c>
      <c r="D5" s="18" t="s">
        <v>44</v>
      </c>
      <c r="E5" s="18" t="s">
        <v>42</v>
      </c>
      <c r="F5" s="19" t="s">
        <v>21</v>
      </c>
      <c r="G5" s="15">
        <v>6418.81</v>
      </c>
    </row>
    <row r="6" spans="1:7">
      <c r="A6" s="10" t="s">
        <v>42</v>
      </c>
      <c r="B6" s="6"/>
      <c r="D6" s="18" t="s">
        <v>44</v>
      </c>
      <c r="E6" s="18" t="s">
        <v>14</v>
      </c>
      <c r="F6" s="17" t="s">
        <v>15</v>
      </c>
      <c r="G6" s="15">
        <v>330.66</v>
      </c>
    </row>
    <row r="7" spans="1:7">
      <c r="A7" s="11" t="s">
        <v>25</v>
      </c>
      <c r="B7" s="6">
        <v>10686.59</v>
      </c>
      <c r="D7" s="18" t="s">
        <v>44</v>
      </c>
      <c r="E7" s="18" t="s">
        <v>14</v>
      </c>
      <c r="F7" s="19" t="s">
        <v>21</v>
      </c>
      <c r="G7" s="15">
        <v>16396.84</v>
      </c>
    </row>
    <row r="8" spans="1:7">
      <c r="A8" s="11" t="s">
        <v>21</v>
      </c>
      <c r="B8" s="6">
        <v>6418.81</v>
      </c>
      <c r="D8" s="18" t="s">
        <v>44</v>
      </c>
      <c r="E8" s="19" t="s">
        <v>39</v>
      </c>
      <c r="F8" s="13" t="s">
        <v>25</v>
      </c>
      <c r="G8" s="15">
        <v>14120.86</v>
      </c>
    </row>
    <row r="9" spans="1:7">
      <c r="A9" s="10" t="s">
        <v>14</v>
      </c>
      <c r="B9" s="6"/>
      <c r="D9" s="18" t="s">
        <v>13</v>
      </c>
      <c r="E9" s="17" t="s">
        <v>20</v>
      </c>
      <c r="F9" s="17" t="s">
        <v>25</v>
      </c>
      <c r="G9" s="15">
        <v>14835.169999999998</v>
      </c>
    </row>
    <row r="10" spans="1:7">
      <c r="A10" s="11" t="s">
        <v>15</v>
      </c>
      <c r="B10" s="6">
        <v>330.66</v>
      </c>
      <c r="D10" s="18" t="s">
        <v>13</v>
      </c>
      <c r="E10" s="18" t="s">
        <v>20</v>
      </c>
      <c r="F10" s="19" t="s">
        <v>15</v>
      </c>
      <c r="G10" s="15">
        <v>2314.2200000000003</v>
      </c>
    </row>
    <row r="11" spans="1:7">
      <c r="A11" s="11" t="s">
        <v>21</v>
      </c>
      <c r="B11" s="6">
        <v>16396.84</v>
      </c>
      <c r="D11" s="18" t="s">
        <v>13</v>
      </c>
      <c r="E11" s="18" t="s">
        <v>42</v>
      </c>
      <c r="F11" s="13" t="s">
        <v>25</v>
      </c>
      <c r="G11" s="15">
        <v>2600.9299999999998</v>
      </c>
    </row>
    <row r="12" spans="1:7">
      <c r="A12" s="10" t="s">
        <v>39</v>
      </c>
      <c r="B12" s="6"/>
      <c r="D12" s="18" t="s">
        <v>13</v>
      </c>
      <c r="E12" s="18" t="s">
        <v>14</v>
      </c>
      <c r="F12" s="17" t="s">
        <v>25</v>
      </c>
      <c r="G12" s="15">
        <v>1267.8900000000001</v>
      </c>
    </row>
    <row r="13" spans="1:7">
      <c r="A13" s="11" t="s">
        <v>25</v>
      </c>
      <c r="B13" s="6">
        <v>14120.86</v>
      </c>
      <c r="D13" s="18" t="s">
        <v>13</v>
      </c>
      <c r="E13" s="18" t="s">
        <v>14</v>
      </c>
      <c r="F13" s="19" t="s">
        <v>15</v>
      </c>
      <c r="G13" s="15">
        <v>13640.63</v>
      </c>
    </row>
    <row r="14" spans="1:7">
      <c r="A14" s="7" t="s">
        <v>13</v>
      </c>
      <c r="B14" s="6"/>
      <c r="D14" s="18" t="s">
        <v>13</v>
      </c>
      <c r="E14" s="18" t="s">
        <v>39</v>
      </c>
      <c r="F14" s="17" t="s">
        <v>25</v>
      </c>
      <c r="G14" s="15">
        <v>7064.98</v>
      </c>
    </row>
    <row r="15" spans="1:7">
      <c r="A15" s="10" t="s">
        <v>20</v>
      </c>
      <c r="B15" s="6"/>
      <c r="D15" s="18" t="s">
        <v>13</v>
      </c>
      <c r="E15" s="18" t="s">
        <v>39</v>
      </c>
      <c r="F15" s="18" t="s">
        <v>15</v>
      </c>
      <c r="G15" s="15">
        <v>4780.99</v>
      </c>
    </row>
    <row r="16" spans="1:7">
      <c r="A16" s="11" t="s">
        <v>25</v>
      </c>
      <c r="B16" s="6">
        <v>14835.169999999998</v>
      </c>
      <c r="D16" s="18" t="s">
        <v>13</v>
      </c>
      <c r="E16" s="19" t="s">
        <v>39</v>
      </c>
      <c r="F16" s="19" t="s">
        <v>21</v>
      </c>
      <c r="G16" s="15">
        <v>5004.71</v>
      </c>
    </row>
    <row r="17" spans="1:7">
      <c r="A17" s="11" t="s">
        <v>15</v>
      </c>
      <c r="B17" s="6">
        <v>2314.2200000000003</v>
      </c>
      <c r="D17" s="18" t="s">
        <v>59</v>
      </c>
      <c r="E17" s="17" t="s">
        <v>20</v>
      </c>
      <c r="F17" s="17" t="s">
        <v>25</v>
      </c>
      <c r="G17" s="15">
        <v>577.16999999999996</v>
      </c>
    </row>
    <row r="18" spans="1:7">
      <c r="A18" s="10" t="s">
        <v>42</v>
      </c>
      <c r="B18" s="6"/>
      <c r="D18" s="18" t="s">
        <v>59</v>
      </c>
      <c r="E18" s="18" t="s">
        <v>20</v>
      </c>
      <c r="F18" s="18" t="s">
        <v>15</v>
      </c>
      <c r="G18" s="15">
        <v>2519.3200000000002</v>
      </c>
    </row>
    <row r="19" spans="1:7">
      <c r="A19" s="11" t="s">
        <v>25</v>
      </c>
      <c r="B19" s="6">
        <v>2600.9299999999998</v>
      </c>
      <c r="D19" s="18" t="s">
        <v>59</v>
      </c>
      <c r="E19" s="18" t="s">
        <v>20</v>
      </c>
      <c r="F19" s="19" t="s">
        <v>21</v>
      </c>
      <c r="G19" s="15">
        <v>1461.38</v>
      </c>
    </row>
    <row r="20" spans="1:7">
      <c r="A20" s="10" t="s">
        <v>14</v>
      </c>
      <c r="B20" s="6"/>
      <c r="D20" s="18" t="s">
        <v>59</v>
      </c>
      <c r="E20" s="18" t="s">
        <v>42</v>
      </c>
      <c r="F20" s="17" t="s">
        <v>25</v>
      </c>
      <c r="G20" s="15">
        <v>11817.119999999999</v>
      </c>
    </row>
    <row r="21" spans="1:7">
      <c r="A21" s="11" t="s">
        <v>25</v>
      </c>
      <c r="B21" s="6">
        <v>1267.8900000000001</v>
      </c>
      <c r="D21" s="18" t="s">
        <v>59</v>
      </c>
      <c r="E21" s="18" t="s">
        <v>42</v>
      </c>
      <c r="F21" s="19" t="s">
        <v>15</v>
      </c>
      <c r="G21" s="15">
        <v>20258.150000000001</v>
      </c>
    </row>
    <row r="22" spans="1:7">
      <c r="A22" s="11" t="s">
        <v>15</v>
      </c>
      <c r="B22" s="6">
        <v>13640.63</v>
      </c>
      <c r="D22" s="18" t="s">
        <v>59</v>
      </c>
      <c r="E22" s="18" t="s">
        <v>14</v>
      </c>
      <c r="F22" s="17" t="s">
        <v>25</v>
      </c>
      <c r="G22" s="15">
        <v>5203.97</v>
      </c>
    </row>
    <row r="23" spans="1:7">
      <c r="A23" s="10" t="s">
        <v>39</v>
      </c>
      <c r="B23" s="6"/>
      <c r="D23" s="18" t="s">
        <v>59</v>
      </c>
      <c r="E23" s="18" t="s">
        <v>14</v>
      </c>
      <c r="F23" s="18" t="s">
        <v>15</v>
      </c>
      <c r="G23" s="15">
        <v>7756.51</v>
      </c>
    </row>
    <row r="24" spans="1:7">
      <c r="A24" s="11" t="s">
        <v>25</v>
      </c>
      <c r="B24" s="6">
        <v>7064.98</v>
      </c>
      <c r="D24" s="18" t="s">
        <v>59</v>
      </c>
      <c r="E24" s="18" t="s">
        <v>14</v>
      </c>
      <c r="F24" s="19" t="s">
        <v>21</v>
      </c>
      <c r="G24" s="15">
        <v>5666.71</v>
      </c>
    </row>
    <row r="25" spans="1:7">
      <c r="A25" s="11" t="s">
        <v>15</v>
      </c>
      <c r="B25" s="6">
        <v>4780.99</v>
      </c>
      <c r="D25" s="18" t="s">
        <v>59</v>
      </c>
      <c r="E25" s="18" t="s">
        <v>39</v>
      </c>
      <c r="F25" s="17" t="s">
        <v>25</v>
      </c>
      <c r="G25" s="15">
        <v>5896.13</v>
      </c>
    </row>
    <row r="26" spans="1:7">
      <c r="A26" s="11" t="s">
        <v>21</v>
      </c>
      <c r="B26" s="6">
        <v>5004.71</v>
      </c>
      <c r="D26" s="18" t="s">
        <v>59</v>
      </c>
      <c r="E26" s="19" t="s">
        <v>39</v>
      </c>
      <c r="F26" s="19" t="s">
        <v>15</v>
      </c>
      <c r="G26" s="15">
        <v>18777.849999999999</v>
      </c>
    </row>
    <row r="27" spans="1:7">
      <c r="A27" s="7" t="s">
        <v>59</v>
      </c>
      <c r="B27" s="6"/>
      <c r="D27" s="18" t="s">
        <v>51</v>
      </c>
      <c r="E27" s="17" t="s">
        <v>20</v>
      </c>
      <c r="F27" s="13" t="s">
        <v>15</v>
      </c>
      <c r="G27" s="15">
        <v>7918.02</v>
      </c>
    </row>
    <row r="28" spans="1:7">
      <c r="A28" s="10" t="s">
        <v>20</v>
      </c>
      <c r="B28" s="6"/>
      <c r="D28" s="18" t="s">
        <v>51</v>
      </c>
      <c r="E28" s="18" t="s">
        <v>14</v>
      </c>
      <c r="F28" s="13" t="s">
        <v>15</v>
      </c>
      <c r="G28" s="15">
        <v>2149.91</v>
      </c>
    </row>
    <row r="29" spans="1:7">
      <c r="A29" s="11" t="s">
        <v>25</v>
      </c>
      <c r="B29" s="6">
        <v>577.16999999999996</v>
      </c>
      <c r="D29" s="18" t="s">
        <v>51</v>
      </c>
      <c r="E29" s="19" t="s">
        <v>39</v>
      </c>
      <c r="F29" s="13" t="s">
        <v>25</v>
      </c>
      <c r="G29" s="15">
        <v>5146.6000000000004</v>
      </c>
    </row>
    <row r="30" spans="1:7">
      <c r="A30" s="11" t="s">
        <v>15</v>
      </c>
      <c r="B30" s="6">
        <v>2519.3200000000002</v>
      </c>
      <c r="D30" s="18" t="s">
        <v>36</v>
      </c>
      <c r="E30" s="17" t="s">
        <v>20</v>
      </c>
      <c r="F30" s="17" t="s">
        <v>25</v>
      </c>
      <c r="G30" s="15">
        <v>376.77</v>
      </c>
    </row>
    <row r="31" spans="1:7">
      <c r="A31" s="11" t="s">
        <v>21</v>
      </c>
      <c r="B31" s="6">
        <v>1461.38</v>
      </c>
      <c r="D31" s="18" t="s">
        <v>36</v>
      </c>
      <c r="E31" s="18" t="s">
        <v>20</v>
      </c>
      <c r="F31" s="19" t="s">
        <v>15</v>
      </c>
      <c r="G31" s="15">
        <v>10182.68</v>
      </c>
    </row>
    <row r="32" spans="1:7">
      <c r="A32" s="10" t="s">
        <v>42</v>
      </c>
      <c r="B32" s="6"/>
      <c r="D32" s="18" t="s">
        <v>36</v>
      </c>
      <c r="E32" s="18" t="s">
        <v>14</v>
      </c>
      <c r="F32" s="13" t="s">
        <v>21</v>
      </c>
      <c r="G32" s="15">
        <v>7462.04</v>
      </c>
    </row>
    <row r="33" spans="1:7">
      <c r="A33" s="11" t="s">
        <v>25</v>
      </c>
      <c r="B33" s="6">
        <v>11817.119999999999</v>
      </c>
      <c r="D33" s="18" t="s">
        <v>36</v>
      </c>
      <c r="E33" s="18" t="s">
        <v>39</v>
      </c>
      <c r="F33" s="17" t="s">
        <v>25</v>
      </c>
      <c r="G33" s="15">
        <v>3891.04</v>
      </c>
    </row>
    <row r="34" spans="1:7">
      <c r="A34" s="11" t="s">
        <v>15</v>
      </c>
      <c r="B34" s="6">
        <v>20258.150000000001</v>
      </c>
      <c r="D34" s="18" t="s">
        <v>36</v>
      </c>
      <c r="E34" s="18" t="s">
        <v>39</v>
      </c>
      <c r="F34" s="18" t="s">
        <v>15</v>
      </c>
      <c r="G34" s="15">
        <v>1996.06</v>
      </c>
    </row>
    <row r="35" spans="1:7">
      <c r="A35" s="10" t="s">
        <v>14</v>
      </c>
      <c r="B35" s="6"/>
      <c r="D35" s="18" t="s">
        <v>36</v>
      </c>
      <c r="E35" s="19" t="s">
        <v>39</v>
      </c>
      <c r="F35" s="19" t="s">
        <v>21</v>
      </c>
      <c r="G35" s="15">
        <v>6341.54</v>
      </c>
    </row>
    <row r="36" spans="1:7">
      <c r="A36" s="11" t="s">
        <v>25</v>
      </c>
      <c r="B36" s="6">
        <v>5203.97</v>
      </c>
      <c r="D36" s="18" t="s">
        <v>38</v>
      </c>
      <c r="E36" s="17" t="s">
        <v>20</v>
      </c>
      <c r="F36" s="17" t="s">
        <v>25</v>
      </c>
      <c r="G36" s="15">
        <v>1163.1199999999999</v>
      </c>
    </row>
    <row r="37" spans="1:7">
      <c r="A37" s="11" t="s">
        <v>15</v>
      </c>
      <c r="B37" s="6">
        <v>7756.51</v>
      </c>
      <c r="D37" s="18" t="s">
        <v>38</v>
      </c>
      <c r="E37" s="18" t="s">
        <v>20</v>
      </c>
      <c r="F37" s="19" t="s">
        <v>21</v>
      </c>
      <c r="G37" s="15">
        <v>20411.989999999998</v>
      </c>
    </row>
    <row r="38" spans="1:7">
      <c r="A38" s="11" t="s">
        <v>21</v>
      </c>
      <c r="B38" s="6">
        <v>5666.71</v>
      </c>
      <c r="D38" s="18" t="s">
        <v>38</v>
      </c>
      <c r="E38" s="18" t="s">
        <v>42</v>
      </c>
      <c r="F38" s="17" t="s">
        <v>25</v>
      </c>
      <c r="G38" s="15">
        <v>6344.46</v>
      </c>
    </row>
    <row r="39" spans="1:7">
      <c r="A39" s="10" t="s">
        <v>39</v>
      </c>
      <c r="B39" s="6"/>
      <c r="D39" s="18" t="s">
        <v>38</v>
      </c>
      <c r="E39" s="18" t="s">
        <v>42</v>
      </c>
      <c r="F39" s="19" t="s">
        <v>15</v>
      </c>
      <c r="G39" s="15">
        <v>11483.18</v>
      </c>
    </row>
    <row r="40" spans="1:7">
      <c r="A40" s="11" t="s">
        <v>25</v>
      </c>
      <c r="B40" s="6">
        <v>5896.13</v>
      </c>
      <c r="D40" s="18" t="s">
        <v>38</v>
      </c>
      <c r="E40" s="18" t="s">
        <v>14</v>
      </c>
      <c r="F40" s="13" t="s">
        <v>25</v>
      </c>
      <c r="G40" s="15">
        <v>233.71</v>
      </c>
    </row>
    <row r="41" spans="1:7">
      <c r="A41" s="11" t="s">
        <v>15</v>
      </c>
      <c r="B41" s="6">
        <v>18777.849999999999</v>
      </c>
      <c r="D41" s="18" t="s">
        <v>38</v>
      </c>
      <c r="E41" s="18" t="s">
        <v>39</v>
      </c>
      <c r="F41" s="17" t="s">
        <v>25</v>
      </c>
      <c r="G41" s="15">
        <v>8238.2099999999991</v>
      </c>
    </row>
    <row r="42" spans="1:7">
      <c r="A42" s="7" t="s">
        <v>51</v>
      </c>
      <c r="B42" s="6"/>
      <c r="D42" s="18" t="s">
        <v>38</v>
      </c>
      <c r="E42" s="19" t="s">
        <v>39</v>
      </c>
      <c r="F42" s="19" t="s">
        <v>15</v>
      </c>
      <c r="G42" s="15">
        <v>16424.510000000002</v>
      </c>
    </row>
    <row r="43" spans="1:7">
      <c r="A43" s="10" t="s">
        <v>20</v>
      </c>
      <c r="B43" s="6"/>
      <c r="D43" s="18" t="s">
        <v>90</v>
      </c>
      <c r="E43" s="17" t="s">
        <v>20</v>
      </c>
      <c r="F43" s="17" t="s">
        <v>15</v>
      </c>
      <c r="G43" s="15">
        <v>1455.62</v>
      </c>
    </row>
    <row r="44" spans="1:7">
      <c r="A44" s="11" t="s">
        <v>15</v>
      </c>
      <c r="B44" s="6">
        <v>7918.02</v>
      </c>
      <c r="D44" s="18" t="s">
        <v>90</v>
      </c>
      <c r="E44" s="18" t="s">
        <v>20</v>
      </c>
      <c r="F44" s="19" t="s">
        <v>21</v>
      </c>
      <c r="G44" s="15">
        <v>3420.38</v>
      </c>
    </row>
    <row r="45" spans="1:7">
      <c r="A45" s="10" t="s">
        <v>14</v>
      </c>
      <c r="B45" s="6"/>
      <c r="D45" s="18" t="s">
        <v>90</v>
      </c>
      <c r="E45" s="18" t="s">
        <v>42</v>
      </c>
      <c r="F45" s="17" t="s">
        <v>25</v>
      </c>
      <c r="G45" s="15">
        <v>13451.619999999999</v>
      </c>
    </row>
    <row r="46" spans="1:7">
      <c r="A46" s="11" t="s">
        <v>15</v>
      </c>
      <c r="B46" s="6">
        <v>2149.91</v>
      </c>
      <c r="D46" s="18" t="s">
        <v>90</v>
      </c>
      <c r="E46" s="18" t="s">
        <v>42</v>
      </c>
      <c r="F46" s="19" t="s">
        <v>15</v>
      </c>
      <c r="G46" s="15">
        <v>7129.57</v>
      </c>
    </row>
    <row r="47" spans="1:7">
      <c r="A47" s="10" t="s">
        <v>39</v>
      </c>
      <c r="B47" s="6"/>
      <c r="D47" s="18" t="s">
        <v>90</v>
      </c>
      <c r="E47" s="19" t="s">
        <v>39</v>
      </c>
      <c r="F47" s="13" t="s">
        <v>25</v>
      </c>
      <c r="G47" s="15">
        <v>2140.6799999999998</v>
      </c>
    </row>
    <row r="48" spans="1:7">
      <c r="A48" s="11" t="s">
        <v>25</v>
      </c>
      <c r="B48" s="6">
        <v>5146.6000000000004</v>
      </c>
      <c r="D48" s="18" t="s">
        <v>28</v>
      </c>
      <c r="E48" s="17" t="s">
        <v>20</v>
      </c>
      <c r="F48" s="17" t="s">
        <v>25</v>
      </c>
      <c r="G48" s="15">
        <v>13982.15</v>
      </c>
    </row>
    <row r="49" spans="1:7">
      <c r="A49" s="7" t="s">
        <v>36</v>
      </c>
      <c r="B49" s="6"/>
      <c r="D49" s="18" t="s">
        <v>28</v>
      </c>
      <c r="E49" s="18" t="s">
        <v>20</v>
      </c>
      <c r="F49" s="19" t="s">
        <v>21</v>
      </c>
      <c r="G49" s="15">
        <v>17660.46</v>
      </c>
    </row>
    <row r="50" spans="1:7">
      <c r="A50" s="10" t="s">
        <v>20</v>
      </c>
      <c r="B50" s="6"/>
      <c r="D50" s="18" t="s">
        <v>28</v>
      </c>
      <c r="E50" s="18" t="s">
        <v>42</v>
      </c>
      <c r="F50" s="13" t="s">
        <v>15</v>
      </c>
      <c r="G50" s="15">
        <v>2306.81</v>
      </c>
    </row>
    <row r="51" spans="1:7">
      <c r="A51" s="11" t="s">
        <v>25</v>
      </c>
      <c r="B51" s="6">
        <v>376.77</v>
      </c>
      <c r="D51" s="18" t="s">
        <v>28</v>
      </c>
      <c r="E51" s="18" t="s">
        <v>14</v>
      </c>
      <c r="F51" s="17" t="s">
        <v>25</v>
      </c>
      <c r="G51" s="15">
        <v>3547.4399999999996</v>
      </c>
    </row>
    <row r="52" spans="1:7">
      <c r="A52" s="11" t="s">
        <v>15</v>
      </c>
      <c r="B52" s="6">
        <v>10182.68</v>
      </c>
      <c r="D52" s="18" t="s">
        <v>28</v>
      </c>
      <c r="E52" s="18" t="s">
        <v>14</v>
      </c>
      <c r="F52" s="18" t="s">
        <v>15</v>
      </c>
      <c r="G52" s="15">
        <v>5248.92</v>
      </c>
    </row>
    <row r="53" spans="1:7">
      <c r="A53" s="10" t="s">
        <v>14</v>
      </c>
      <c r="B53" s="6"/>
      <c r="D53" s="18" t="s">
        <v>28</v>
      </c>
      <c r="E53" s="18" t="s">
        <v>14</v>
      </c>
      <c r="F53" s="19" t="s">
        <v>21</v>
      </c>
      <c r="G53" s="15">
        <v>7048.31</v>
      </c>
    </row>
    <row r="54" spans="1:7">
      <c r="A54" s="11" t="s">
        <v>21</v>
      </c>
      <c r="B54" s="6">
        <v>7462.04</v>
      </c>
      <c r="D54" s="18" t="s">
        <v>28</v>
      </c>
      <c r="E54" s="19" t="s">
        <v>39</v>
      </c>
      <c r="F54" s="13" t="s">
        <v>21</v>
      </c>
      <c r="G54" s="15">
        <v>9714.7099999999991</v>
      </c>
    </row>
    <row r="55" spans="1:7">
      <c r="A55" s="10" t="s">
        <v>39</v>
      </c>
      <c r="B55" s="6"/>
      <c r="D55" s="18" t="s">
        <v>33</v>
      </c>
      <c r="E55" s="17" t="s">
        <v>20</v>
      </c>
      <c r="F55" s="17" t="s">
        <v>25</v>
      </c>
      <c r="G55" s="15">
        <v>11403.67</v>
      </c>
    </row>
    <row r="56" spans="1:7">
      <c r="A56" s="11" t="s">
        <v>25</v>
      </c>
      <c r="B56" s="6">
        <v>3891.04</v>
      </c>
      <c r="D56" s="18" t="s">
        <v>33</v>
      </c>
      <c r="E56" s="18" t="s">
        <v>20</v>
      </c>
      <c r="F56" s="19" t="s">
        <v>15</v>
      </c>
      <c r="G56" s="15">
        <v>13244.17</v>
      </c>
    </row>
    <row r="57" spans="1:7">
      <c r="A57" s="11" t="s">
        <v>15</v>
      </c>
      <c r="B57" s="6">
        <v>1996.06</v>
      </c>
      <c r="D57" s="18" t="s">
        <v>33</v>
      </c>
      <c r="E57" s="18" t="s">
        <v>42</v>
      </c>
      <c r="F57" s="17" t="s">
        <v>25</v>
      </c>
      <c r="G57" s="15">
        <v>1012.04</v>
      </c>
    </row>
    <row r="58" spans="1:7">
      <c r="A58" s="11" t="s">
        <v>21</v>
      </c>
      <c r="B58" s="6">
        <v>6341.54</v>
      </c>
      <c r="D58" s="18" t="s">
        <v>33</v>
      </c>
      <c r="E58" s="18" t="s">
        <v>42</v>
      </c>
      <c r="F58" s="19" t="s">
        <v>21</v>
      </c>
      <c r="G58" s="15">
        <v>11560.220000000001</v>
      </c>
    </row>
    <row r="59" spans="1:7">
      <c r="A59" s="7" t="s">
        <v>38</v>
      </c>
      <c r="B59" s="6"/>
      <c r="D59" s="18" t="s">
        <v>33</v>
      </c>
      <c r="E59" s="18" t="s">
        <v>14</v>
      </c>
      <c r="F59" s="17" t="s">
        <v>25</v>
      </c>
      <c r="G59" s="15">
        <v>6809.12</v>
      </c>
    </row>
    <row r="60" spans="1:7">
      <c r="A60" s="10" t="s">
        <v>20</v>
      </c>
      <c r="B60" s="6"/>
      <c r="D60" s="18" t="s">
        <v>33</v>
      </c>
      <c r="E60" s="18" t="s">
        <v>14</v>
      </c>
      <c r="F60" s="19" t="s">
        <v>21</v>
      </c>
      <c r="G60" s="15">
        <v>12337.740000000002</v>
      </c>
    </row>
    <row r="61" spans="1:7">
      <c r="A61" s="11" t="s">
        <v>25</v>
      </c>
      <c r="B61" s="6">
        <v>1163.1199999999999</v>
      </c>
      <c r="D61" s="18" t="s">
        <v>33</v>
      </c>
      <c r="E61" s="19" t="s">
        <v>39</v>
      </c>
      <c r="F61" s="13" t="s">
        <v>21</v>
      </c>
      <c r="G61" s="15">
        <v>840.44</v>
      </c>
    </row>
    <row r="62" spans="1:7">
      <c r="A62" s="11" t="s">
        <v>21</v>
      </c>
      <c r="B62" s="6">
        <v>20411.989999999998</v>
      </c>
      <c r="D62" s="18" t="s">
        <v>19</v>
      </c>
      <c r="E62" s="17" t="s">
        <v>20</v>
      </c>
      <c r="F62" s="13" t="s">
        <v>21</v>
      </c>
      <c r="G62" s="15">
        <v>11218.630000000001</v>
      </c>
    </row>
    <row r="63" spans="1:7">
      <c r="A63" s="10" t="s">
        <v>42</v>
      </c>
      <c r="B63" s="6"/>
      <c r="D63" s="18" t="s">
        <v>19</v>
      </c>
      <c r="E63" s="18" t="s">
        <v>14</v>
      </c>
      <c r="F63" s="13" t="s">
        <v>21</v>
      </c>
      <c r="G63" s="15">
        <v>4349.3100000000004</v>
      </c>
    </row>
    <row r="64" spans="1:7">
      <c r="A64" s="11" t="s">
        <v>25</v>
      </c>
      <c r="B64" s="6">
        <v>6344.46</v>
      </c>
      <c r="D64" s="18" t="s">
        <v>19</v>
      </c>
      <c r="E64" s="18" t="s">
        <v>39</v>
      </c>
      <c r="F64" s="17" t="s">
        <v>15</v>
      </c>
      <c r="G64" s="15">
        <v>6997.11</v>
      </c>
    </row>
    <row r="65" spans="1:7">
      <c r="A65" s="11" t="s">
        <v>15</v>
      </c>
      <c r="B65" s="6">
        <v>11483.18</v>
      </c>
      <c r="D65" s="19" t="s">
        <v>19</v>
      </c>
      <c r="E65" s="19" t="s">
        <v>39</v>
      </c>
      <c r="F65" s="19" t="s">
        <v>21</v>
      </c>
      <c r="G65" s="15">
        <v>12712.73</v>
      </c>
    </row>
    <row r="66" spans="1:7">
      <c r="A66" s="10" t="s">
        <v>14</v>
      </c>
      <c r="B66" s="6"/>
      <c r="D66" s="20" t="s">
        <v>142</v>
      </c>
      <c r="E66" s="21"/>
      <c r="F66" s="22"/>
      <c r="G66" s="16">
        <v>491075.13</v>
      </c>
    </row>
    <row r="67" spans="1:7">
      <c r="A67" s="11" t="s">
        <v>25</v>
      </c>
      <c r="B67" s="6">
        <v>233.71</v>
      </c>
    </row>
    <row r="68" spans="1:7">
      <c r="A68" s="10" t="s">
        <v>39</v>
      </c>
      <c r="B68" s="6"/>
    </row>
    <row r="69" spans="1:7">
      <c r="A69" s="11" t="s">
        <v>25</v>
      </c>
      <c r="B69" s="6">
        <v>8238.2099999999991</v>
      </c>
    </row>
    <row r="70" spans="1:7">
      <c r="A70" s="11" t="s">
        <v>15</v>
      </c>
      <c r="B70" s="6">
        <v>16424.510000000002</v>
      </c>
    </row>
    <row r="71" spans="1:7">
      <c r="A71" s="7" t="s">
        <v>90</v>
      </c>
      <c r="B71" s="6"/>
    </row>
    <row r="72" spans="1:7">
      <c r="A72" s="10" t="s">
        <v>20</v>
      </c>
      <c r="B72" s="6"/>
    </row>
    <row r="73" spans="1:7">
      <c r="A73" s="11" t="s">
        <v>15</v>
      </c>
      <c r="B73" s="6">
        <v>1455.62</v>
      </c>
    </row>
    <row r="74" spans="1:7">
      <c r="A74" s="11" t="s">
        <v>21</v>
      </c>
      <c r="B74" s="6">
        <v>3420.38</v>
      </c>
    </row>
    <row r="75" spans="1:7">
      <c r="A75" s="10" t="s">
        <v>42</v>
      </c>
      <c r="B75" s="6"/>
    </row>
    <row r="76" spans="1:7">
      <c r="A76" s="11" t="s">
        <v>25</v>
      </c>
      <c r="B76" s="6">
        <v>13451.619999999999</v>
      </c>
    </row>
    <row r="77" spans="1:7">
      <c r="A77" s="11" t="s">
        <v>15</v>
      </c>
      <c r="B77" s="6">
        <v>7129.57</v>
      </c>
    </row>
    <row r="78" spans="1:7">
      <c r="A78" s="10" t="s">
        <v>39</v>
      </c>
      <c r="B78" s="6"/>
    </row>
    <row r="79" spans="1:7">
      <c r="A79" s="11" t="s">
        <v>25</v>
      </c>
      <c r="B79" s="6">
        <v>2140.6799999999998</v>
      </c>
    </row>
    <row r="80" spans="1:7">
      <c r="A80" s="7" t="s">
        <v>28</v>
      </c>
      <c r="B80" s="6"/>
    </row>
    <row r="81" spans="1:2">
      <c r="A81" s="10" t="s">
        <v>20</v>
      </c>
      <c r="B81" s="6"/>
    </row>
    <row r="82" spans="1:2">
      <c r="A82" s="11" t="s">
        <v>25</v>
      </c>
      <c r="B82" s="6">
        <v>13982.15</v>
      </c>
    </row>
    <row r="83" spans="1:2">
      <c r="A83" s="11" t="s">
        <v>21</v>
      </c>
      <c r="B83" s="6">
        <v>17660.46</v>
      </c>
    </row>
    <row r="84" spans="1:2">
      <c r="A84" s="10" t="s">
        <v>42</v>
      </c>
      <c r="B84" s="6"/>
    </row>
    <row r="85" spans="1:2">
      <c r="A85" s="11" t="s">
        <v>15</v>
      </c>
      <c r="B85" s="6">
        <v>2306.81</v>
      </c>
    </row>
    <row r="86" spans="1:2">
      <c r="A86" s="10" t="s">
        <v>14</v>
      </c>
      <c r="B86" s="6"/>
    </row>
    <row r="87" spans="1:2">
      <c r="A87" s="11" t="s">
        <v>25</v>
      </c>
      <c r="B87" s="6">
        <v>3547.4399999999996</v>
      </c>
    </row>
    <row r="88" spans="1:2">
      <c r="A88" s="11" t="s">
        <v>15</v>
      </c>
      <c r="B88" s="6">
        <v>5248.92</v>
      </c>
    </row>
    <row r="89" spans="1:2">
      <c r="A89" s="11" t="s">
        <v>21</v>
      </c>
      <c r="B89" s="6">
        <v>7048.31</v>
      </c>
    </row>
    <row r="90" spans="1:2">
      <c r="A90" s="10" t="s">
        <v>39</v>
      </c>
      <c r="B90" s="6"/>
    </row>
    <row r="91" spans="1:2">
      <c r="A91" s="11" t="s">
        <v>21</v>
      </c>
      <c r="B91" s="6">
        <v>9714.7099999999991</v>
      </c>
    </row>
    <row r="92" spans="1:2">
      <c r="A92" s="7" t="s">
        <v>33</v>
      </c>
      <c r="B92" s="6"/>
    </row>
    <row r="93" spans="1:2">
      <c r="A93" s="10" t="s">
        <v>20</v>
      </c>
      <c r="B93" s="6"/>
    </row>
    <row r="94" spans="1:2">
      <c r="A94" s="11" t="s">
        <v>25</v>
      </c>
      <c r="B94" s="6">
        <v>11403.67</v>
      </c>
    </row>
    <row r="95" spans="1:2">
      <c r="A95" s="11" t="s">
        <v>15</v>
      </c>
      <c r="B95" s="6">
        <v>13244.17</v>
      </c>
    </row>
    <row r="96" spans="1:2">
      <c r="A96" s="10" t="s">
        <v>42</v>
      </c>
      <c r="B96" s="6"/>
    </row>
    <row r="97" spans="1:2">
      <c r="A97" s="11" t="s">
        <v>25</v>
      </c>
      <c r="B97" s="6">
        <v>1012.04</v>
      </c>
    </row>
    <row r="98" spans="1:2">
      <c r="A98" s="11" t="s">
        <v>21</v>
      </c>
      <c r="B98" s="6">
        <v>11560.220000000001</v>
      </c>
    </row>
    <row r="99" spans="1:2">
      <c r="A99" s="10" t="s">
        <v>14</v>
      </c>
      <c r="B99" s="6"/>
    </row>
    <row r="100" spans="1:2">
      <c r="A100" s="11" t="s">
        <v>25</v>
      </c>
      <c r="B100" s="6">
        <v>6809.12</v>
      </c>
    </row>
    <row r="101" spans="1:2">
      <c r="A101" s="11" t="s">
        <v>21</v>
      </c>
      <c r="B101" s="6">
        <v>12337.740000000002</v>
      </c>
    </row>
    <row r="102" spans="1:2">
      <c r="A102" s="10" t="s">
        <v>39</v>
      </c>
      <c r="B102" s="6"/>
    </row>
    <row r="103" spans="1:2">
      <c r="A103" s="11" t="s">
        <v>21</v>
      </c>
      <c r="B103" s="6">
        <v>840.44</v>
      </c>
    </row>
    <row r="104" spans="1:2">
      <c r="A104" s="7" t="s">
        <v>19</v>
      </c>
      <c r="B104" s="6"/>
    </row>
    <row r="105" spans="1:2">
      <c r="A105" s="10" t="s">
        <v>20</v>
      </c>
      <c r="B105" s="6"/>
    </row>
    <row r="106" spans="1:2">
      <c r="A106" s="11" t="s">
        <v>21</v>
      </c>
      <c r="B106" s="6">
        <v>11218.630000000001</v>
      </c>
    </row>
    <row r="107" spans="1:2">
      <c r="A107" s="10" t="s">
        <v>14</v>
      </c>
      <c r="B107" s="6"/>
    </row>
    <row r="108" spans="1:2">
      <c r="A108" s="11" t="s">
        <v>21</v>
      </c>
      <c r="B108" s="6">
        <v>4349.3100000000004</v>
      </c>
    </row>
    <row r="109" spans="1:2">
      <c r="A109" s="10" t="s">
        <v>39</v>
      </c>
      <c r="B109" s="6"/>
    </row>
    <row r="110" spans="1:2">
      <c r="A110" s="11" t="s">
        <v>15</v>
      </c>
      <c r="B110" s="6">
        <v>6997.11</v>
      </c>
    </row>
    <row r="111" spans="1:2">
      <c r="A111" s="11" t="s">
        <v>21</v>
      </c>
      <c r="B111" s="6">
        <v>12712.73</v>
      </c>
    </row>
    <row r="112" spans="1:2">
      <c r="A112" s="7" t="s">
        <v>142</v>
      </c>
      <c r="B112" s="6">
        <v>491075.13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AA06-FA50-4457-B1AD-827FB19C582C}">
  <dimension ref="A1:B6"/>
  <sheetViews>
    <sheetView tabSelected="1" workbookViewId="0">
      <selection activeCell="N9" sqref="N9"/>
    </sheetView>
  </sheetViews>
  <sheetFormatPr defaultRowHeight="15"/>
  <cols>
    <col min="1" max="1" width="13.140625" bestFit="1" customWidth="1"/>
    <col min="2" max="2" width="17.28515625" bestFit="1" customWidth="1"/>
  </cols>
  <sheetData>
    <row r="1" spans="1:2">
      <c r="A1" s="5" t="s">
        <v>144</v>
      </c>
      <c r="B1" t="s">
        <v>143</v>
      </c>
    </row>
    <row r="2" spans="1:2">
      <c r="A2" s="7" t="s">
        <v>20</v>
      </c>
      <c r="B2" s="6">
        <v>156466.77000000002</v>
      </c>
    </row>
    <row r="3" spans="1:2">
      <c r="A3" s="7" t="s">
        <v>42</v>
      </c>
      <c r="B3" s="6">
        <v>105069.5</v>
      </c>
    </row>
    <row r="4" spans="1:2">
      <c r="A4" s="7" t="s">
        <v>14</v>
      </c>
      <c r="B4" s="6">
        <v>99449.71</v>
      </c>
    </row>
    <row r="5" spans="1:2">
      <c r="A5" s="7" t="s">
        <v>39</v>
      </c>
      <c r="B5" s="6">
        <v>130089.14999999998</v>
      </c>
    </row>
    <row r="6" spans="1:2">
      <c r="A6" s="7" t="s">
        <v>142</v>
      </c>
      <c r="B6" s="6">
        <v>491075.13</v>
      </c>
    </row>
  </sheetData>
  <dataConsolid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6AB28-4A80-4F54-AD83-36D29BAE6165}">
  <dimension ref="A1:B16"/>
  <sheetViews>
    <sheetView topLeftCell="A10" workbookViewId="0">
      <selection activeCell="A24" sqref="A24"/>
    </sheetView>
  </sheetViews>
  <sheetFormatPr defaultRowHeight="15"/>
  <cols>
    <col min="1" max="1" width="13.140625" bestFit="1" customWidth="1"/>
    <col min="2" max="2" width="24" bestFit="1" customWidth="1"/>
    <col min="3" max="9" width="9" bestFit="1" customWidth="1"/>
    <col min="10" max="10" width="8" bestFit="1" customWidth="1"/>
    <col min="11" max="11" width="9" bestFit="1" customWidth="1"/>
    <col min="12" max="12" width="8" bestFit="1" customWidth="1"/>
    <col min="13" max="13" width="9" bestFit="1" customWidth="1"/>
    <col min="14" max="14" width="11.28515625" bestFit="1" customWidth="1"/>
    <col min="15" max="15" width="7.28515625" bestFit="1" customWidth="1"/>
    <col min="16" max="16" width="11.28515625" bestFit="1" customWidth="1"/>
  </cols>
  <sheetData>
    <row r="1" spans="1:2">
      <c r="A1" s="5" t="s">
        <v>144</v>
      </c>
      <c r="B1" t="s">
        <v>161</v>
      </c>
    </row>
    <row r="2" spans="1:2">
      <c r="A2" s="7" t="s">
        <v>147</v>
      </c>
      <c r="B2" s="6">
        <v>47322.349999999991</v>
      </c>
    </row>
    <row r="3" spans="1:2">
      <c r="A3" s="7" t="s">
        <v>148</v>
      </c>
      <c r="B3" s="6">
        <v>62559.839999999997</v>
      </c>
    </row>
    <row r="4" spans="1:2">
      <c r="A4" s="7" t="s">
        <v>149</v>
      </c>
      <c r="B4" s="6">
        <v>19909.03</v>
      </c>
    </row>
    <row r="5" spans="1:2">
      <c r="A5" s="7" t="s">
        <v>150</v>
      </c>
      <c r="B5" s="6">
        <v>44310.17</v>
      </c>
    </row>
    <row r="6" spans="1:2">
      <c r="A6" s="7" t="s">
        <v>151</v>
      </c>
      <c r="B6" s="6">
        <v>22554.239999999998</v>
      </c>
    </row>
    <row r="7" spans="1:2">
      <c r="A7" s="7" t="s">
        <v>152</v>
      </c>
      <c r="B7" s="6">
        <v>24101.27</v>
      </c>
    </row>
    <row r="8" spans="1:2">
      <c r="A8" s="7" t="s">
        <v>153</v>
      </c>
      <c r="B8" s="6">
        <v>33977.269999999997</v>
      </c>
    </row>
    <row r="9" spans="1:2">
      <c r="A9" s="7" t="s">
        <v>154</v>
      </c>
      <c r="B9" s="6">
        <v>50714.99</v>
      </c>
    </row>
    <row r="10" spans="1:2">
      <c r="A10" s="7" t="s">
        <v>155</v>
      </c>
      <c r="B10" s="6">
        <v>42323.599999999991</v>
      </c>
    </row>
    <row r="11" spans="1:2">
      <c r="A11" s="7" t="s">
        <v>156</v>
      </c>
      <c r="B11" s="6">
        <v>47650.590000000004</v>
      </c>
    </row>
    <row r="12" spans="1:2">
      <c r="A12" s="7" t="s">
        <v>157</v>
      </c>
      <c r="B12" s="6">
        <v>40175.599999999999</v>
      </c>
    </row>
    <row r="13" spans="1:2">
      <c r="A13" s="7" t="s">
        <v>158</v>
      </c>
      <c r="B13" s="6">
        <v>55476.180000000008</v>
      </c>
    </row>
    <row r="14" spans="1:2">
      <c r="A14" s="7" t="s">
        <v>142</v>
      </c>
      <c r="B14" s="6">
        <v>491075.12999999995</v>
      </c>
    </row>
    <row r="15" spans="1:2">
      <c r="A15" s="7" t="s">
        <v>160</v>
      </c>
      <c r="B15" s="6"/>
    </row>
    <row r="16" spans="1:2">
      <c r="A16" s="7" t="s">
        <v>142</v>
      </c>
      <c r="B16" s="6">
        <v>982150.25999999989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Sheet4</vt:lpstr>
      <vt:lpstr>Sheet1</vt:lpstr>
      <vt:lpstr>Sheet5</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Anudip</cp:lastModifiedBy>
  <dcterms:created xsi:type="dcterms:W3CDTF">2026-01-28T09:09:12Z</dcterms:created>
  <dcterms:modified xsi:type="dcterms:W3CDTF">2026-01-28T11:18:30Z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A76E2B814C3D40BBB589006BC67031FD_11</vt:lpwstr>
  </property>
  <property fmtid="{D5CDD505-2E9C-101B-9397-08002B2CF9AE}" pid="3" name="KSOProductBuildVer">
    <vt:lpwstr>1033-12.2.0.23196</vt:lpwstr>
  </property>
</Properties>
</file>