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<sst xmlns="http://schemas.openxmlformats.org/spreadsheetml/2006/main" count="33" uniqueCount="27">
  <si>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</si>
  <si>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</si>
  <si>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</si>
  <si>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</si>
  <si>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</si>
  <si>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</si>
  <si>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</si>
  <si>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</si>
  <si>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</si>
  <si>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</si>
  <si>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</si>
  <si>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</si>
  <si>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</si>
  <si>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</si>
  <si>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</si>
  <si>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</si>
  <si>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</si>
  <si>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1)</t>
  </si>
  <si>
    <t>2)</t>
  </si>
  <si>
    <t>3)</t>
  </si>
  <si>
    <t>8)</t>
  </si>
  <si>
    <t>Month</t>
  </si>
  <si>
    <t>Sales</t>
  </si>
  <si>
    <t>4)</t>
  </si>
  <si>
    <t>5)</t>
  </si>
  <si>
    <t>6)</t>
  </si>
  <si>
    <t>7)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</si>
</sst>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K22"/>
  <sheetViews>
    <sheetView tabSelected="1" topLeftCell="A4" workbookViewId="0">
      <selection activeCell="L16" sqref="L16"/>
    </sheetView>
  </sheetViews>
  <sheetFormatPr defaultColWidth="9.14285714285714" defaultRowHeight="15"/>
  <cols>
    <col min="3" max="3" width="10.2857142857143" customWidth="1"/>
    <col min="4" max="4" width="9.71428571428571" customWidth="1"/>
    <col min="5" max="5" width="11.2857142857143" customWidth="1"/>
    <col min="6" max="6" width="9.42857142857143" customWidth="1"/>
    <col min="7" max="7" width="9.85714285714286" customWidth="1"/>
    <col min="8" max="8" width="10" customWidth="1"/>
    <col min="9" max="9" width="9.71428571428571" customWidth="1"/>
    <col min="10" max="10" width="10.2857142857143" customWidth="1"/>
  </cols>
  <sheetData>
    <row r="6" spans="3:11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2"/>
    </row>
    <row r="7" spans="3:11">
      <c r="C7" s="1">
        <v>101</v>
      </c>
      <c r="D7" s="1" t="s">
        <v>8</v>
      </c>
      <c r="E7" s="1" t="s">
        <v>9</v>
      </c>
      <c r="F7" s="1">
        <v>120</v>
      </c>
      <c r="G7" s="1">
        <v>130</v>
      </c>
      <c r="H7" s="1">
        <v>140</v>
      </c>
      <c r="I7" s="1">
        <v>150</v>
      </c>
      <c r="J7" s="1">
        <v>160</v>
      </c>
      <c r="K7" s="2"/>
    </row>
    <row r="8" spans="3:11">
      <c r="C8" s="1">
        <v>102</v>
      </c>
      <c r="D8" s="1" t="s">
        <v>10</v>
      </c>
      <c r="E8" s="1" t="s">
        <v>11</v>
      </c>
      <c r="F8" s="1">
        <v>150</v>
      </c>
      <c r="G8" s="1">
        <v>160</v>
      </c>
      <c r="H8" s="1">
        <v>170</v>
      </c>
      <c r="I8" s="1">
        <v>180</v>
      </c>
      <c r="J8" s="1">
        <v>190</v>
      </c>
      <c r="K8" s="2"/>
    </row>
    <row r="9" spans="3:11">
      <c r="C9" s="1">
        <v>103</v>
      </c>
      <c r="D9" s="1" t="s">
        <v>12</v>
      </c>
      <c r="E9" s="1" t="s">
        <v>9</v>
      </c>
      <c r="F9" s="1">
        <v>200</v>
      </c>
      <c r="G9" s="1">
        <v>210</v>
      </c>
      <c r="H9" s="1">
        <v>220</v>
      </c>
      <c r="I9" s="1">
        <v>230</v>
      </c>
      <c r="J9" s="1">
        <v>240</v>
      </c>
      <c r="K9" s="2"/>
    </row>
    <row r="10" spans="3:11">
      <c r="C10" s="1">
        <v>104</v>
      </c>
      <c r="D10" s="1" t="s">
        <v>13</v>
      </c>
      <c r="E10" s="1" t="s">
        <v>14</v>
      </c>
      <c r="F10" s="1">
        <v>90</v>
      </c>
      <c r="G10" s="1">
        <v>100</v>
      </c>
      <c r="H10" s="1">
        <v>110</v>
      </c>
      <c r="I10" s="1">
        <v>120</v>
      </c>
      <c r="J10" s="1">
        <v>130</v>
      </c>
      <c r="K10" s="2"/>
    </row>
    <row r="11" spans="3:11">
      <c r="C11" s="1">
        <v>105</v>
      </c>
      <c r="D11" s="1" t="s">
        <v>15</v>
      </c>
      <c r="E11" s="1" t="s">
        <v>11</v>
      </c>
      <c r="F11" s="1">
        <v>220</v>
      </c>
      <c r="G11" s="1">
        <v>230</v>
      </c>
      <c r="H11" s="1">
        <v>240</v>
      </c>
      <c r="I11" s="1">
        <v>250</v>
      </c>
      <c r="J11" s="1">
        <v>260</v>
      </c>
      <c r="K11" s="2"/>
    </row>
    <row r="12" spans="3:11">
      <c r="C12" s="1">
        <v>106</v>
      </c>
      <c r="D12" s="1" t="s">
        <v>16</v>
      </c>
      <c r="E12" s="1" t="s">
        <v>9</v>
      </c>
      <c r="F12" s="1">
        <v>130</v>
      </c>
      <c r="G12" s="1">
        <v>140</v>
      </c>
      <c r="H12" s="1">
        <v>150</v>
      </c>
      <c r="I12" s="1">
        <v>160</v>
      </c>
      <c r="J12" s="1">
        <v>170</v>
      </c>
      <c r="K12" s="2"/>
    </row>
    <row r="13" spans="3:11">
      <c r="C13" s="2"/>
      <c r="D13" s="2"/>
      <c r="E13" s="2"/>
      <c r="F13" s="2"/>
      <c r="G13" s="2"/>
      <c r="H13" s="2"/>
      <c r="I13" s="2"/>
      <c r="J13" s="2"/>
      <c r="K13" s="2"/>
    </row>
    <row r="14" spans="3:11">
      <c r="C14" s="2"/>
      <c r="D14" s="2"/>
      <c r="E14" s="2"/>
      <c r="F14" s="2"/>
      <c r="G14" s="2"/>
      <c r="H14" s="2"/>
      <c r="I14" s="2"/>
      <c r="J14" s="2"/>
      <c r="K14" s="2"/>
    </row>
    <row r="15" spans="3:11">
      <c r="C15" s="2"/>
      <c r="D15" s="2"/>
      <c r="E15" s="2"/>
      <c r="F15" s="2"/>
      <c r="G15" s="2"/>
      <c r="H15" s="2"/>
      <c r="I15" s="2"/>
      <c r="J15" s="2"/>
      <c r="K15" s="2"/>
    </row>
    <row r="16" spans="2:11">
      <c r="B16" s="3" t="s">
        <v>17</v>
      </c>
      <c r="C16" s="4" cm="1">
        <f t="array" ref="C16">INDEX(C6:J12,MATCH(D9,D6:D12,0),MATCH(H6,C6:J6,0))</f>
        <v>220</v>
      </c>
      <c r="D16" s="2"/>
      <c r="E16" s="2"/>
      <c r="F16" s="2"/>
      <c r="G16" s="2"/>
      <c r="H16" s="2"/>
      <c r="I16" s="2"/>
      <c r="J16" s="2"/>
      <c r="K16" s="2"/>
    </row>
    <row r="17" spans="2:11">
      <c r="B17" s="3" t="s">
        <v>18</v>
      </c>
      <c r="C17" s="4" t="str" cm="1">
        <f t="array" ref="C17">INDEX(C6:J12,MATCH(D11,D6:D12,0),MATCH(E6,C6:J6,0))</f>
        <v>Furniture</v>
      </c>
      <c r="D17" s="2"/>
      <c r="E17" s="2"/>
      <c r="F17" s="2"/>
      <c r="G17" s="2"/>
      <c r="H17" s="2"/>
      <c r="I17" s="2"/>
      <c r="J17" s="2"/>
      <c r="K17" s="2"/>
    </row>
    <row r="18" spans="2:11">
      <c r="B18" s="3" t="s">
        <v>19</v>
      </c>
      <c r="C18" s="4">
        <f>MAX(INDEX(F6:J12,MATCH(D8,D6:D12,0),))</f>
        <v>190</v>
      </c>
      <c r="D18" s="2"/>
      <c r="E18" s="2"/>
      <c r="F18" s="2"/>
      <c r="G18" s="5" t="s">
        <v>20</v>
      </c>
      <c r="H18" s="6" t="s">
        <v>1</v>
      </c>
      <c r="I18" s="6" t="s">
        <v>21</v>
      </c>
      <c r="J18" s="6" t="s">
        <v>22</v>
      </c>
      <c r="K18" s="2"/>
    </row>
    <row r="19" spans="2:11">
      <c r="B19" s="3" t="s">
        <v>23</v>
      </c>
      <c r="C19" s="4" t="str" cm="1">
        <f t="array" ref="C19">INDEX(F6:J12,MATCH(C6,C6:J6,0),MATCH(MAX(INDEX(F6:J12,MATCH(D7,D6:D12,0),)),F7:J7,0))</f>
        <v>May Sales</v>
      </c>
      <c r="D19" s="2" t="str" cm="1">
        <f t="array" ref="D19">INDEX(D6:J6,,MATCH(MAX(F7:J7),D7:J7,0))</f>
        <v>May Sales</v>
      </c>
      <c r="E19" s="2"/>
      <c r="F19" s="2"/>
      <c r="G19" s="5"/>
      <c r="H19" s="6" t="s">
        <v>16</v>
      </c>
      <c r="I19" s="6" t="s">
        <v>7</v>
      </c>
      <c r="J19" s="6" cm="1">
        <f t="array" ref="J19">INDEX(C6:J12,MATCH(H19,D6:D12,0),MATCH(I19,C6:J6,0))</f>
        <v>170</v>
      </c>
      <c r="K19" s="2"/>
    </row>
    <row r="20" spans="2:11">
      <c r="B20" s="3" t="s">
        <v>24</v>
      </c>
      <c r="C20" s="4">
        <f>SUMIF(E6:E12,"=Electronics",I6:I12)</f>
        <v>540</v>
      </c>
      <c r="D20" s="2"/>
      <c r="E20" s="2"/>
      <c r="F20" s="2"/>
      <c r="G20" s="2"/>
      <c r="H20" s="2"/>
      <c r="I20" s="2"/>
      <c r="J20" s="2"/>
      <c r="K20" s="2"/>
    </row>
    <row r="21" spans="2:11">
      <c r="B21" s="3" t="s">
        <v>25</v>
      </c>
      <c r="C21" s="4">
        <f>AVERAGE(INDEX(D6:J12,MATCH(D10,D6:D12,0),))</f>
        <v>110</v>
      </c>
      <c r="D21" s="2"/>
      <c r="E21" s="2"/>
      <c r="F21" s="2"/>
      <c r="G21" s="2"/>
      <c r="H21" s="2"/>
      <c r="I21" s="2"/>
      <c r="J21" s="2"/>
      <c r="K21" s="2"/>
    </row>
    <row r="22" spans="2:11">
      <c r="B22" s="3" t="s">
        <v>26</v>
      </c>
      <c r="C22" s="4" cm="1">
        <f t="array" ref="C22">INDEX(C6:J12,MATCH(C11,C6:C12,0),MATCH(J6,C6:J6,0))</f>
        <v>260</v>
      </c>
      <c r="D22" s="2"/>
      <c r="E22" s="2"/>
      <c r="F22" s="2"/>
      <c r="G22" s="2"/>
      <c r="H22" s="2"/>
      <c r="I22" s="2"/>
      <c r="J22" s="2"/>
      <c r="K22" s="2"/>
    </row>
  </sheetData>
  <dataValidations count="2">
    <dataValidation type="list" allowBlank="1" showInputMessage="1" showErrorMessage="1" sqref="H19">
      <formula1>$D$7:$D$12</formula1>
    </dataValidation>
    <dataValidation type="list" allowBlank="1" showInputMessage="1" showErrorMessage="1" sqref="I19">
      <formula1>$F$6:$J$6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2026-01-19T09:16:00Z</dcterms:created>
  <dcterms:modified xsi:type="dcterms:W3CDTF">2026-01-19T11:21:38Z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0E399282A50D4FE5A66B6A6A98956784_13</vt:lpwstr>
  </property>
  <property fmtid="{D5CDD505-2E9C-101B-9397-08002B2CF9AE}" pid="3" name="KSOProductBuildVer">
    <vt:lpwstr>1033-12.2.0.23196</vt:lpwstr>
  </property>
</Properties>
</file>