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\Desktop\2475\"/>
    </mc:Choice>
  </mc:AlternateContent>
  <xr:revisionPtr revIDLastSave="0" documentId="13_ncr:1_{D76B4A0B-6F15-49CA-BC10-65285106873F}" xr6:coauthVersionLast="47" xr6:coauthVersionMax="47" xr10:uidLastSave="{00000000-0000-0000-0000-000000000000}"/>
  <bookViews>
    <workbookView xWindow="-120" yWindow="-120" windowWidth="20730" windowHeight="11040" xr2:uid="{E32C0BF1-285B-410D-88DC-B0C17A692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S9" i="1"/>
  <c r="S10" i="1" s="1"/>
  <c r="S12" i="1"/>
  <c r="S14" i="1"/>
  <c r="S15" i="1" s="1"/>
  <c r="S16" i="1" s="1"/>
  <c r="S17" i="1" s="1"/>
</calcChain>
</file>

<file path=xl/sharedStrings.xml><?xml version="1.0" encoding="utf-8"?>
<sst xmlns="http://schemas.openxmlformats.org/spreadsheetml/2006/main" count="634" uniqueCount="158">
  <si>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</si>
  <si>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</si>
  <si>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</si>
  <si>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</si>
  <si>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</si>
  <si>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</si>
  <si>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</si>
  <si>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</si>
  <si>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</si>
  <si>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</si>
  <si>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</si>
  <si>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</si>
  <si>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</si>
  <si>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Karan</t>
  </si>
  <si>
    <t>South</t>
  </si>
  <si>
    <t>Office Supplies</t>
  </si>
  <si>
    <t>Pens</t>
  </si>
  <si>
    <t>UPI</t>
  </si>
  <si>
    <t>ORD-1001</t>
  </si>
  <si>
    <t>Vikram</t>
  </si>
  <si>
    <t>East</t>
  </si>
  <si>
    <t>Technology</t>
  </si>
  <si>
    <t>Laptops</t>
  </si>
  <si>
    <t>Cash</t>
  </si>
  <si>
    <t>ORD-1002</t>
  </si>
  <si>
    <t>Furniture</t>
  </si>
  <si>
    <t>Bookcases</t>
  </si>
  <si>
    <t>ORD-1003</t>
  </si>
  <si>
    <t>Simran</t>
  </si>
  <si>
    <t>Paper</t>
  </si>
  <si>
    <t>Net Banking</t>
  </si>
  <si>
    <t>ORD-1004</t>
  </si>
  <si>
    <t>ORD-1005</t>
  </si>
  <si>
    <t>Sneha</t>
  </si>
  <si>
    <t>Credit Card</t>
  </si>
  <si>
    <t>ORD-1006</t>
  </si>
  <si>
    <t>Priya</t>
  </si>
  <si>
    <t>ORD-1007</t>
  </si>
  <si>
    <t>Raj</t>
  </si>
  <si>
    <t>West</t>
  </si>
  <si>
    <t>Binders</t>
  </si>
  <si>
    <t>ORD-1008</t>
  </si>
  <si>
    <t>North</t>
  </si>
  <si>
    <t>ORD-1009</t>
  </si>
  <si>
    <t>Amit</t>
  </si>
  <si>
    <t>Printers</t>
  </si>
  <si>
    <t>ORD-1010</t>
  </si>
  <si>
    <t>ORD-1011</t>
  </si>
  <si>
    <t>Mobiles</t>
  </si>
  <si>
    <t>ORD-1012</t>
  </si>
  <si>
    <t>ORD-1013</t>
  </si>
  <si>
    <t>Pooja</t>
  </si>
  <si>
    <t>Tables</t>
  </si>
  <si>
    <t>ORD-1014</t>
  </si>
  <si>
    <t>ORD-1015</t>
  </si>
  <si>
    <t>Chairs</t>
  </si>
  <si>
    <t>ORD-1016</t>
  </si>
  <si>
    <t>ORD-1017</t>
  </si>
  <si>
    <t>ORD-1018</t>
  </si>
  <si>
    <t>Neha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</si>
  <si>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</si>
  <si>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</si>
  <si>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</si>
  <si>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</si>
  <si>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</si>
  <si>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</si>
  <si>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</si>
  <si>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</si>
  <si>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</si>
  <si>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</si>
  <si>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</si>
  <si>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</si>
  <si>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</si>
  <si>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</si>
  <si>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</si>
  <si>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</si>
  <si>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</si>
  <si>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</si>
  <si>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</si>
  <si>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</si>
  <si>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</si>
  <si>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</si>
  <si>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</si>
  <si>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</si>
  <si>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</si>
  <si>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</si>
  <si>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</si>
  <si>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</si>
  <si>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</si>
  <si>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</si>
  <si>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</si>
  <si>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</si>
  <si>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</si>
  <si>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</si>
  <si>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</si>
  <si>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</si>
  <si>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</si>
  <si>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</si>
  <si>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</si>
  <si>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</si>
  <si>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</si>
  <si>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</si>
  <si>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</si>
  <si>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</si>
  <si>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</si>
  <si>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</si>
  <si>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</si>
  <si>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</si>
  <si>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</si>
  <si>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</si>
  <si>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</si>
  <si>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</si>
  <si>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</si>
  <si>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</si>
  <si>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</si>
  <si>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</si>
  <si>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</si>
  <si>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</si>
  <si>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</si>
  <si>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</si>
  <si>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</si>
  <si>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</si>
  <si>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</si>
  <si>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</si>
  <si>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</si>
  <si>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</si>
  <si>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</si>
  <si>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</si>
  <si>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</si>
  <si>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</si>
  <si>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</si>
  <si>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</si>
  <si>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</si>
  <si>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</si>
  <si>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</si>
  <si>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</si>
  <si>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</si>
  <si>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</si>
  <si>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</si>
  <si>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</si>
  <si>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</si>
  <si>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</si>
  <si>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Alt+h+o+i</t>
  </si>
  <si>
    <t>Alt+h+o+a</t>
  </si>
  <si>
    <t>Column</t>
  </si>
  <si>
    <t>Row</t>
  </si>
  <si>
    <t>Dunlop</t>
  </si>
  <si>
    <t>Kolkata</t>
  </si>
  <si>
    <t>New Town</t>
  </si>
  <si>
    <t>NA</t>
  </si>
  <si>
    <t>Select row-&gt;F5-&gt;Blanks-&gt;NA-&gt;Ctrl+Enter</t>
  </si>
  <si>
    <t>Ramesh</t>
  </si>
  <si>
    <t>Suresh</t>
  </si>
  <si>
    <t>Apple</t>
  </si>
  <si>
    <t>Mango</t>
  </si>
  <si>
    <t>Banana</t>
  </si>
  <si>
    <t>Select column-&gt;F5-&gt;Blanks-&gt;=cell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</si>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</sst>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1" xfId="0" applyFont="1" applyBorder="1"/>
    <xf numFmtId="14" fontId="3" fillId="0" borderId="1" xfId="0" applyNumberFormat="1" applyFont="1" applyBorder="1"/>
    <xf numFmtId="0" fontId="0" fillId="0" borderId="1" xfId="0" applyBorder="1"/>
    <xf numFmtId="0" fontId="3" fillId="0" borderId="2" xfId="0" applyFont="1" applyBorder="1"/>
    <xf numFmtId="0" fontId="3" fillId="0" borderId="3" xfId="0" applyFont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4" xfId="0" applyFont="1" applyFill="1" applyBorder="1"/>
    <xf numFmtId="14" fontId="2" fillId="0" borderId="5" xfId="0" applyNumberFormat="1" applyFont="1" applyFill="1" applyBorder="1"/>
    <xf numFmtId="1" fontId="0" fillId="0" borderId="0" xfId="0" applyNumberFormat="1"/>
    <xf numFmtId="0" fontId="4" fillId="0" borderId="1" xfId="0" applyFont="1" applyBorder="1"/>
    <xf numFmtId="0" fontId="0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7" xfId="0" applyFont="1" applyBorder="1"/>
    <xf numFmtId="14" fontId="0" fillId="0" borderId="8" xfId="0" applyNumberFormat="1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5" xfId="0" applyFont="1" applyBorder="1"/>
    <xf numFmtId="0" fontId="1" fillId="0" borderId="5" xfId="0" applyFont="1" applyFill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9" formatCode="m/d/yyyy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16BCDD-E1E4-438E-9C2D-699D99FEA205}" name="Table1" displayName="Table1" ref="A1:M102" totalsRowShown="0" headerRowDxfId="17" dataDxfId="16" headerRowBorderDxfId="14" tableBorderDxfId="15" totalsRowBorderDxfId="13">
  <autoFilter ref="A1:M102" xr:uid="{8316BCDD-E1E4-438E-9C2D-699D99FEA205}"/>
  <tableColumns count="13">
    <tableColumn id="1" xr3:uid="{EBE33F2D-14C7-4969-913E-8026946EB18E}" name="Order ID" dataDxfId="12"/>
    <tableColumn id="2" xr3:uid="{2989B339-D844-4E54-ABCE-55B047116289}" name="Order Date" dataDxfId="11"/>
    <tableColumn id="3" xr3:uid="{A317C675-A1EB-4E28-99B2-A72557B4C332}" name="Customer Name" dataDxfId="10"/>
    <tableColumn id="4" xr3:uid="{0AE22ED9-8329-4EAA-A83B-308CBDCFC53C}" name="Region" dataDxfId="9"/>
    <tableColumn id="5" xr3:uid="{C54F9146-9D97-49B2-AE27-BC4AD97C675B}" name="Category" dataDxfId="8"/>
    <tableColumn id="6" xr3:uid="{04CBCC95-A558-451E-B106-6666A3CA7233}" name="Sub-Category" dataDxfId="7"/>
    <tableColumn id="7" xr3:uid="{CE362646-2668-4558-8C46-E1BE032C52A1}" name="Quantity" dataDxfId="6"/>
    <tableColumn id="8" xr3:uid="{DE09C7E1-E0BE-4285-9586-2136B1E315D9}" name="Unit Price" dataDxfId="5"/>
    <tableColumn id="9" xr3:uid="{D4148FD5-4760-4990-89B2-E3EDE4F8AEDF}" name="Discount" dataDxfId="4"/>
    <tableColumn id="10" xr3:uid="{D87C2AF9-F810-40ED-B53E-001090E34096}" name="Total Sales" dataDxfId="3"/>
    <tableColumn id="11" xr3:uid="{E67F1A79-8A96-49D8-8EFA-658541A54ECE}" name="Profit" dataDxfId="2"/>
    <tableColumn id="12" xr3:uid="{0EBE0DFE-6227-4119-911B-8D1266112B53}" name="Payment Mode" dataDxfId="1"/>
    <tableColumn id="13" xr3:uid="{FD4E7428-07D2-4323-95AE-2FBF7D5AC67C}" name="Total Price" dataDxfId="0">
      <calculatedColumnFormula>IFERROR(Table1[[#This Row],[Quantity]]*Table1[[#This Row],[Unit Price]],"")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D8DD-E865-4C3B-9F80-880862ACA96E}">
  <dimension ref="A1:X102"/>
  <sheetViews>
    <sheetView tabSelected="1" zoomScaleNormal="100" workbookViewId="0">
      <selection activeCell="M2" sqref="M2"/>
    </sheetView>
  </sheetViews>
  <sheetFormatPr defaultRowHeight="15"/>
  <cols>
    <col min="1" max="1" width="10.5703125" customWidth="1"/>
    <col min="2" max="2" width="12.85546875" customWidth="1"/>
    <col min="3" max="3" width="17.42578125" customWidth="1"/>
    <col min="4" max="4" width="9.28515625" customWidth="1"/>
    <col min="5" max="5" width="14.5703125" bestFit="1" customWidth="1"/>
    <col min="6" max="6" width="15" customWidth="1"/>
    <col min="7" max="7" width="10.85546875" customWidth="1"/>
    <col min="8" max="8" width="11.85546875" customWidth="1"/>
    <col min="9" max="9" width="10.85546875" customWidth="1"/>
    <col min="10" max="10" width="12.5703125" customWidth="1"/>
    <col min="11" max="11" width="8.140625" customWidth="1"/>
    <col min="12" max="13" width="16.7109375" customWidth="1"/>
    <col min="15" max="15" width="18.85546875" bestFit="1" customWidth="1"/>
    <col min="16" max="16" width="9.85546875" bestFit="1" customWidth="1"/>
    <col min="17" max="18" width="8.85546875" customWidth="1"/>
    <col min="19" max="19" width="10.42578125" bestFit="1" customWidth="1"/>
    <col min="20" max="20" width="7.5703125" bestFit="1" customWidth="1"/>
    <col min="21" max="21" width="7" bestFit="1" customWidth="1"/>
  </cols>
  <sheetData>
    <row r="1" spans="1:24">
      <c r="A1" s="8" t="s">
        <v>0</v>
      </c>
      <c r="B1" s="9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22" t="s">
        <v>157</v>
      </c>
    </row>
    <row r="2" spans="1:24">
      <c r="A2" s="4" t="s">
        <v>12</v>
      </c>
      <c r="B2" s="2">
        <v>45029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5" t="s">
        <v>17</v>
      </c>
      <c r="M2" s="21">
        <f>IFERROR(Table1[[#This Row],[Quantity]]*Table1[[#This Row],[Unit Price]],"")</f>
        <v>4329.09</v>
      </c>
      <c r="S2" s="3" t="s">
        <v>146</v>
      </c>
      <c r="T2" s="3" t="s">
        <v>147</v>
      </c>
      <c r="U2" s="3">
        <v>700001</v>
      </c>
    </row>
    <row r="3" spans="1:24">
      <c r="A3" s="4" t="s">
        <v>18</v>
      </c>
      <c r="B3" s="2">
        <v>45275</v>
      </c>
      <c r="C3" s="1" t="s">
        <v>19</v>
      </c>
      <c r="D3" s="1" t="s">
        <v>20</v>
      </c>
      <c r="E3" s="1" t="s">
        <v>21</v>
      </c>
      <c r="F3" s="1" t="s">
        <v>22</v>
      </c>
      <c r="G3" s="11" t="s">
        <v>149</v>
      </c>
      <c r="H3" s="1">
        <v>1715.07</v>
      </c>
      <c r="I3" s="1">
        <v>0.15</v>
      </c>
      <c r="J3" s="1">
        <v>10204.69</v>
      </c>
      <c r="K3" s="1">
        <v>1354.41</v>
      </c>
      <c r="L3" s="5" t="s">
        <v>23</v>
      </c>
      <c r="M3" s="12" t="str">
        <f>IFERROR(Table1[[#This Row],[Quantity]]*Table1[[#This Row],[Unit Price]],"")</f>
        <v/>
      </c>
      <c r="O3" s="3" t="s">
        <v>144</v>
      </c>
      <c r="P3" s="3" t="s">
        <v>145</v>
      </c>
      <c r="S3" s="3" t="s">
        <v>148</v>
      </c>
      <c r="T3" s="3" t="s">
        <v>147</v>
      </c>
      <c r="U3" s="3">
        <v>700002</v>
      </c>
    </row>
    <row r="4" spans="1:24">
      <c r="A4" s="4" t="s">
        <v>24</v>
      </c>
      <c r="B4" s="2">
        <v>45197</v>
      </c>
      <c r="C4" s="1" t="s">
        <v>13</v>
      </c>
      <c r="D4" s="1" t="s">
        <v>20</v>
      </c>
      <c r="E4" s="1" t="s">
        <v>25</v>
      </c>
      <c r="F4" s="1" t="s">
        <v>26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5" t="s">
        <v>23</v>
      </c>
      <c r="M4" s="12">
        <f>IFERROR(Table1[[#This Row],[Quantity]]*Table1[[#This Row],[Unit Price]],"")</f>
        <v>4975.76</v>
      </c>
      <c r="O4" s="3" t="s">
        <v>142</v>
      </c>
      <c r="P4" s="3" t="s">
        <v>143</v>
      </c>
    </row>
    <row r="5" spans="1:24">
      <c r="A5" s="4" t="s">
        <v>27</v>
      </c>
      <c r="B5" s="2">
        <v>45033</v>
      </c>
      <c r="C5" s="1" t="s">
        <v>28</v>
      </c>
      <c r="D5" s="1" t="s">
        <v>14</v>
      </c>
      <c r="E5" s="1" t="s">
        <v>15</v>
      </c>
      <c r="F5" s="1" t="s">
        <v>29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5" t="s">
        <v>30</v>
      </c>
      <c r="M5" s="12">
        <f>IFERROR(Table1[[#This Row],[Quantity]]*Table1[[#This Row],[Unit Price]],"")</f>
        <v>5832.1500000000005</v>
      </c>
    </row>
    <row r="6" spans="1:24">
      <c r="A6" s="4" t="s">
        <v>31</v>
      </c>
      <c r="B6" s="2">
        <v>44998</v>
      </c>
      <c r="C6" s="1" t="s">
        <v>13</v>
      </c>
      <c r="D6" s="1" t="s">
        <v>20</v>
      </c>
      <c r="E6" s="1" t="s">
        <v>25</v>
      </c>
      <c r="F6" s="1" t="s">
        <v>26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5" t="s">
        <v>17</v>
      </c>
      <c r="M6" s="12">
        <f>IFERROR(Table1[[#This Row],[Quantity]]*Table1[[#This Row],[Unit Price]],"")</f>
        <v>7022.4000000000005</v>
      </c>
    </row>
    <row r="7" spans="1:24">
      <c r="A7" s="4" t="s">
        <v>32</v>
      </c>
      <c r="B7" s="2">
        <v>45115</v>
      </c>
      <c r="C7" s="1" t="s">
        <v>33</v>
      </c>
      <c r="D7" s="1" t="s">
        <v>14</v>
      </c>
      <c r="E7" s="1" t="s">
        <v>25</v>
      </c>
      <c r="F7" s="1" t="s">
        <v>26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5" t="s">
        <v>34</v>
      </c>
      <c r="M7" s="12">
        <f>IFERROR(Table1[[#This Row],[Quantity]]*Table1[[#This Row],[Unit Price]],"")</f>
        <v>7565.68</v>
      </c>
    </row>
    <row r="8" spans="1:24">
      <c r="A8" s="4" t="s">
        <v>35</v>
      </c>
      <c r="B8" s="2">
        <v>44947</v>
      </c>
      <c r="C8" s="1" t="s">
        <v>36</v>
      </c>
      <c r="D8" s="1" t="s">
        <v>14</v>
      </c>
      <c r="E8" s="1" t="s">
        <v>21</v>
      </c>
      <c r="F8" s="1" t="s">
        <v>22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5" t="s">
        <v>23</v>
      </c>
      <c r="M8" s="12">
        <f>IFERROR(Table1[[#This Row],[Quantity]]*Table1[[#This Row],[Unit Price]],"")</f>
        <v>8778.9</v>
      </c>
      <c r="S8" s="3" t="s">
        <v>153</v>
      </c>
    </row>
    <row r="9" spans="1:24">
      <c r="A9" s="4" t="s">
        <v>37</v>
      </c>
      <c r="B9" s="2">
        <v>45029</v>
      </c>
      <c r="C9" s="1" t="s">
        <v>38</v>
      </c>
      <c r="D9" s="1" t="s">
        <v>39</v>
      </c>
      <c r="E9" s="1" t="s">
        <v>15</v>
      </c>
      <c r="F9" s="1" t="s">
        <v>40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5" t="s">
        <v>34</v>
      </c>
      <c r="M9" s="12">
        <f>IFERROR(Table1[[#This Row],[Quantity]]*Table1[[#This Row],[Unit Price]],"")</f>
        <v>12617.99</v>
      </c>
      <c r="O9" s="10">
        <v>214600000000000</v>
      </c>
      <c r="S9" s="3" t="str">
        <f t="shared" ref="S9:S10" si="0">S8</f>
        <v>Apple</v>
      </c>
    </row>
    <row r="10" spans="1:24">
      <c r="A10" s="4" t="s">
        <v>41</v>
      </c>
      <c r="B10" s="2">
        <v>45048</v>
      </c>
      <c r="C10" s="1" t="s">
        <v>13</v>
      </c>
      <c r="D10" s="1" t="s">
        <v>42</v>
      </c>
      <c r="E10" s="1" t="s">
        <v>25</v>
      </c>
      <c r="F10" s="1" t="s">
        <v>26</v>
      </c>
      <c r="G10" s="11" t="s">
        <v>149</v>
      </c>
      <c r="H10" s="1">
        <v>412.85</v>
      </c>
      <c r="I10" s="1">
        <v>0.1</v>
      </c>
      <c r="J10" s="1">
        <v>2600.9299999999998</v>
      </c>
      <c r="K10" s="1">
        <v>401.46</v>
      </c>
      <c r="L10" s="5" t="s">
        <v>17</v>
      </c>
      <c r="M10" s="12" t="str">
        <f>IFERROR(Table1[[#This Row],[Quantity]]*Table1[[#This Row],[Unit Price]],"")</f>
        <v/>
      </c>
      <c r="S10" s="3" t="str">
        <f t="shared" si="0"/>
        <v>Apple</v>
      </c>
      <c r="U10" s="13" t="s">
        <v>156</v>
      </c>
      <c r="V10" s="13"/>
      <c r="W10" s="13"/>
      <c r="X10" s="13"/>
    </row>
    <row r="11" spans="1:24">
      <c r="A11" s="4" t="s">
        <v>43</v>
      </c>
      <c r="B11" s="2">
        <v>45141</v>
      </c>
      <c r="C11" s="1" t="s">
        <v>44</v>
      </c>
      <c r="D11" s="1" t="s">
        <v>14</v>
      </c>
      <c r="E11" s="1" t="s">
        <v>21</v>
      </c>
      <c r="F11" s="1" t="s">
        <v>45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5" t="s">
        <v>30</v>
      </c>
      <c r="M11" s="12">
        <f>IFERROR(Table1[[#This Row],[Quantity]]*Table1[[#This Row],[Unit Price]],"")</f>
        <v>3093.8999999999996</v>
      </c>
      <c r="O11" s="14" t="s">
        <v>150</v>
      </c>
      <c r="P11" s="14"/>
      <c r="Q11" s="15"/>
      <c r="R11" s="16"/>
      <c r="S11" s="3" t="s">
        <v>154</v>
      </c>
    </row>
    <row r="12" spans="1:24">
      <c r="A12" s="4" t="s">
        <v>46</v>
      </c>
      <c r="B12" s="2">
        <v>45257</v>
      </c>
      <c r="C12" s="1" t="s">
        <v>44</v>
      </c>
      <c r="D12" s="1" t="s">
        <v>20</v>
      </c>
      <c r="E12" s="1" t="s">
        <v>21</v>
      </c>
      <c r="F12" s="1" t="s">
        <v>45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5" t="s">
        <v>34</v>
      </c>
      <c r="M12" s="12">
        <f>IFERROR(Table1[[#This Row],[Quantity]]*Table1[[#This Row],[Unit Price]],"")</f>
        <v>2906.62</v>
      </c>
      <c r="S12" s="3" t="str">
        <f>S11</f>
        <v>Mango</v>
      </c>
    </row>
    <row r="13" spans="1:24">
      <c r="A13" s="4" t="s">
        <v>47</v>
      </c>
      <c r="B13" s="2">
        <v>45014</v>
      </c>
      <c r="C13" s="1" t="s">
        <v>33</v>
      </c>
      <c r="D13" s="1" t="s">
        <v>42</v>
      </c>
      <c r="E13" s="1" t="s">
        <v>21</v>
      </c>
      <c r="F13" s="1" t="s">
        <v>48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5" t="s">
        <v>30</v>
      </c>
      <c r="M13" s="12">
        <f>IFERROR(Table1[[#This Row],[Quantity]]*Table1[[#This Row],[Unit Price]],"")</f>
        <v>976.80000000000007</v>
      </c>
      <c r="S13" s="3" t="s">
        <v>155</v>
      </c>
    </row>
    <row r="14" spans="1:24">
      <c r="A14" s="4" t="s">
        <v>49</v>
      </c>
      <c r="B14" s="2">
        <v>45026</v>
      </c>
      <c r="C14" s="1" t="s">
        <v>44</v>
      </c>
      <c r="D14" s="1" t="s">
        <v>20</v>
      </c>
      <c r="E14" s="1" t="s">
        <v>21</v>
      </c>
      <c r="F14" s="1" t="s">
        <v>48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5" t="s">
        <v>23</v>
      </c>
      <c r="M14" s="12">
        <f>IFERROR(Table1[[#This Row],[Quantity]]*Table1[[#This Row],[Unit Price]],"")</f>
        <v>9639.42</v>
      </c>
      <c r="P14" t="s">
        <v>151</v>
      </c>
      <c r="S14" s="3" t="str">
        <f t="shared" ref="S14:S17" si="1">S13</f>
        <v>Banana</v>
      </c>
    </row>
    <row r="15" spans="1:24">
      <c r="A15" s="4" t="s">
        <v>50</v>
      </c>
      <c r="B15" s="2">
        <v>45286</v>
      </c>
      <c r="C15" s="1" t="s">
        <v>51</v>
      </c>
      <c r="D15" s="1" t="s">
        <v>39</v>
      </c>
      <c r="E15" s="1" t="s">
        <v>25</v>
      </c>
      <c r="F15" s="1" t="s">
        <v>52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5" t="s">
        <v>34</v>
      </c>
      <c r="M15" s="12">
        <f>IFERROR(Table1[[#This Row],[Quantity]]*Table1[[#This Row],[Unit Price]],"")</f>
        <v>5146.62</v>
      </c>
      <c r="P15" t="s">
        <v>152</v>
      </c>
      <c r="S15" s="3" t="str">
        <f t="shared" si="1"/>
        <v>Banana</v>
      </c>
    </row>
    <row r="16" spans="1:24">
      <c r="A16" s="4" t="s">
        <v>53</v>
      </c>
      <c r="B16" s="2">
        <v>45078</v>
      </c>
      <c r="C16" s="1" t="s">
        <v>36</v>
      </c>
      <c r="D16" s="1" t="s">
        <v>39</v>
      </c>
      <c r="E16" s="1" t="s">
        <v>15</v>
      </c>
      <c r="F16" s="1" t="s">
        <v>16</v>
      </c>
      <c r="G16" s="11" t="s">
        <v>149</v>
      </c>
      <c r="H16" s="1">
        <v>131.52000000000001</v>
      </c>
      <c r="I16" s="1">
        <v>0.1</v>
      </c>
      <c r="J16" s="1">
        <v>473.46</v>
      </c>
      <c r="K16" s="1">
        <v>119.49</v>
      </c>
      <c r="L16" s="5" t="s">
        <v>17</v>
      </c>
      <c r="M16" s="12" t="str">
        <f>IFERROR(Table1[[#This Row],[Quantity]]*Table1[[#This Row],[Unit Price]],"")</f>
        <v/>
      </c>
      <c r="P16" t="s">
        <v>44</v>
      </c>
      <c r="S16" s="3" t="str">
        <f t="shared" si="1"/>
        <v>Banana</v>
      </c>
    </row>
    <row r="17" spans="1:19">
      <c r="A17" s="4" t="s">
        <v>54</v>
      </c>
      <c r="B17" s="2">
        <v>45057</v>
      </c>
      <c r="C17" s="1" t="s">
        <v>38</v>
      </c>
      <c r="D17" s="1" t="s">
        <v>42</v>
      </c>
      <c r="E17" s="1" t="s">
        <v>25</v>
      </c>
      <c r="F17" s="1" t="s">
        <v>55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5" t="s">
        <v>23</v>
      </c>
      <c r="M17" s="12">
        <f>IFERROR(Table1[[#This Row],[Quantity]]*Table1[[#This Row],[Unit Price]],"")</f>
        <v>6678.4</v>
      </c>
      <c r="S17" s="3" t="str">
        <f t="shared" si="1"/>
        <v>Banana</v>
      </c>
    </row>
    <row r="18" spans="1:19">
      <c r="A18" s="4" t="s">
        <v>56</v>
      </c>
      <c r="B18" s="2">
        <v>45076</v>
      </c>
      <c r="C18" s="1" t="s">
        <v>36</v>
      </c>
      <c r="D18" s="1" t="s">
        <v>39</v>
      </c>
      <c r="E18" s="1" t="s">
        <v>15</v>
      </c>
      <c r="F18" s="1" t="s">
        <v>16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5" t="s">
        <v>34</v>
      </c>
      <c r="M18" s="12">
        <f>IFERROR(Table1[[#This Row],[Quantity]]*Table1[[#This Row],[Unit Price]],"")</f>
        <v>1602.75</v>
      </c>
    </row>
    <row r="19" spans="1:19">
      <c r="A19" s="4" t="s">
        <v>57</v>
      </c>
      <c r="B19" s="2">
        <v>45235</v>
      </c>
      <c r="C19" s="1" t="s">
        <v>38</v>
      </c>
      <c r="D19" s="1" t="s">
        <v>20</v>
      </c>
      <c r="E19" s="1" t="s">
        <v>21</v>
      </c>
      <c r="F19" s="1" t="s">
        <v>22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5" t="s">
        <v>17</v>
      </c>
      <c r="M19" s="12">
        <f>IFERROR(Table1[[#This Row],[Quantity]]*Table1[[#This Row],[Unit Price]],"")</f>
        <v>9053.9500000000007</v>
      </c>
    </row>
    <row r="20" spans="1:19">
      <c r="A20" s="4" t="s">
        <v>58</v>
      </c>
      <c r="B20" s="2">
        <v>45184</v>
      </c>
      <c r="C20" s="1" t="s">
        <v>59</v>
      </c>
      <c r="D20" s="1" t="s">
        <v>39</v>
      </c>
      <c r="E20" s="1" t="s">
        <v>15</v>
      </c>
      <c r="F20" s="1" t="s">
        <v>40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5" t="s">
        <v>23</v>
      </c>
      <c r="M20" s="12">
        <f>IFERROR(Table1[[#This Row],[Quantity]]*Table1[[#This Row],[Unit Price]],"")</f>
        <v>14294.08</v>
      </c>
    </row>
    <row r="21" spans="1:19">
      <c r="A21" s="4" t="s">
        <v>60</v>
      </c>
      <c r="B21" s="2">
        <v>45270</v>
      </c>
      <c r="C21" s="1" t="s">
        <v>33</v>
      </c>
      <c r="D21" s="1" t="s">
        <v>14</v>
      </c>
      <c r="E21" s="1" t="s">
        <v>21</v>
      </c>
      <c r="F21" s="1" t="s">
        <v>45</v>
      </c>
      <c r="G21" s="11" t="s">
        <v>149</v>
      </c>
      <c r="H21" s="1">
        <v>1360.65</v>
      </c>
      <c r="I21" s="1">
        <v>0.2</v>
      </c>
      <c r="J21" s="1">
        <v>9796.7000000000007</v>
      </c>
      <c r="K21" s="1">
        <v>1185.21</v>
      </c>
      <c r="L21" s="5" t="s">
        <v>23</v>
      </c>
      <c r="M21" s="12" t="str">
        <f>IFERROR(Table1[[#This Row],[Quantity]]*Table1[[#This Row],[Unit Price]],"")</f>
        <v/>
      </c>
    </row>
    <row r="22" spans="1:19">
      <c r="A22" s="4" t="s">
        <v>61</v>
      </c>
      <c r="B22" s="2">
        <v>45220</v>
      </c>
      <c r="C22" s="1" t="s">
        <v>13</v>
      </c>
      <c r="D22" s="1" t="s">
        <v>39</v>
      </c>
      <c r="E22" s="1" t="s">
        <v>15</v>
      </c>
      <c r="F22" s="1" t="s">
        <v>29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5" t="s">
        <v>30</v>
      </c>
      <c r="M22" s="12">
        <f>IFERROR(Table1[[#This Row],[Quantity]]*Table1[[#This Row],[Unit Price]],"")</f>
        <v>3908.34</v>
      </c>
    </row>
    <row r="23" spans="1:19">
      <c r="A23" s="4" t="s">
        <v>62</v>
      </c>
      <c r="B23" s="2">
        <v>45118</v>
      </c>
      <c r="C23" s="1" t="s">
        <v>51</v>
      </c>
      <c r="D23" s="1" t="s">
        <v>20</v>
      </c>
      <c r="E23" s="1" t="s">
        <v>15</v>
      </c>
      <c r="F23" s="1" t="s">
        <v>16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5" t="s">
        <v>23</v>
      </c>
      <c r="M23" s="12">
        <f>IFERROR(Table1[[#This Row],[Quantity]]*Table1[[#This Row],[Unit Price]],"")</f>
        <v>685.32</v>
      </c>
    </row>
    <row r="24" spans="1:19">
      <c r="A24" s="4" t="s">
        <v>63</v>
      </c>
      <c r="B24" s="2">
        <v>45203</v>
      </c>
      <c r="C24" s="1" t="s">
        <v>33</v>
      </c>
      <c r="D24" s="1" t="s">
        <v>42</v>
      </c>
      <c r="E24" s="1" t="s">
        <v>21</v>
      </c>
      <c r="F24" s="1" t="s">
        <v>48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5" t="s">
        <v>23</v>
      </c>
      <c r="M24" s="12">
        <f>IFERROR(Table1[[#This Row],[Quantity]]*Table1[[#This Row],[Unit Price]],"")</f>
        <v>11759.400000000001</v>
      </c>
    </row>
    <row r="25" spans="1:19">
      <c r="A25" s="4" t="s">
        <v>64</v>
      </c>
      <c r="B25" s="2">
        <v>45087</v>
      </c>
      <c r="C25" s="1" t="s">
        <v>36</v>
      </c>
      <c r="D25" s="1" t="s">
        <v>20</v>
      </c>
      <c r="E25" s="1" t="s">
        <v>25</v>
      </c>
      <c r="F25" s="1" t="s">
        <v>26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5" t="s">
        <v>30</v>
      </c>
      <c r="M25" s="12">
        <f>IFERROR(Table1[[#This Row],[Quantity]]*Table1[[#This Row],[Unit Price]],"")</f>
        <v>470.96</v>
      </c>
    </row>
    <row r="26" spans="1:19">
      <c r="A26" s="4" t="s">
        <v>65</v>
      </c>
      <c r="B26" s="2">
        <v>45240</v>
      </c>
      <c r="C26" s="1" t="s">
        <v>59</v>
      </c>
      <c r="D26" s="1" t="s">
        <v>42</v>
      </c>
      <c r="E26" s="1" t="s">
        <v>25</v>
      </c>
      <c r="F26" s="1" t="s">
        <v>55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5" t="s">
        <v>34</v>
      </c>
      <c r="M26" s="12">
        <f>IFERROR(Table1[[#This Row],[Quantity]]*Table1[[#This Row],[Unit Price]],"")</f>
        <v>8893.2000000000007</v>
      </c>
    </row>
    <row r="27" spans="1:19">
      <c r="A27" s="4" t="s">
        <v>66</v>
      </c>
      <c r="B27" s="2">
        <v>44948</v>
      </c>
      <c r="C27" s="1" t="s">
        <v>13</v>
      </c>
      <c r="D27" s="1" t="s">
        <v>39</v>
      </c>
      <c r="E27" s="1" t="s">
        <v>21</v>
      </c>
      <c r="F27" s="1" t="s">
        <v>22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5" t="s">
        <v>17</v>
      </c>
      <c r="M27" s="12">
        <f>IFERROR(Table1[[#This Row],[Quantity]]*Table1[[#This Row],[Unit Price]],"")</f>
        <v>5887.89</v>
      </c>
    </row>
    <row r="28" spans="1:19">
      <c r="A28" s="4" t="s">
        <v>67</v>
      </c>
      <c r="B28" s="2">
        <v>45179</v>
      </c>
      <c r="C28" s="1" t="s">
        <v>59</v>
      </c>
      <c r="D28" s="1" t="s">
        <v>14</v>
      </c>
      <c r="E28" s="1" t="s">
        <v>25</v>
      </c>
      <c r="F28" s="1" t="s">
        <v>26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5" t="s">
        <v>30</v>
      </c>
      <c r="M28" s="12">
        <f>IFERROR(Table1[[#This Row],[Quantity]]*Table1[[#This Row],[Unit Price]],"")</f>
        <v>2315.84</v>
      </c>
    </row>
    <row r="29" spans="1:19">
      <c r="A29" s="4" t="s">
        <v>68</v>
      </c>
      <c r="B29" s="2">
        <v>45162</v>
      </c>
      <c r="C29" s="1" t="s">
        <v>28</v>
      </c>
      <c r="D29" s="1" t="s">
        <v>42</v>
      </c>
      <c r="E29" s="1" t="s">
        <v>15</v>
      </c>
      <c r="F29" s="1" t="s">
        <v>40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5" t="s">
        <v>30</v>
      </c>
      <c r="M29" s="12">
        <f>IFERROR(Table1[[#This Row],[Quantity]]*Table1[[#This Row],[Unit Price]],"")</f>
        <v>2563.1200000000003</v>
      </c>
    </row>
    <row r="30" spans="1:19">
      <c r="A30" s="4" t="s">
        <v>69</v>
      </c>
      <c r="B30" s="2">
        <v>45271</v>
      </c>
      <c r="C30" s="1" t="s">
        <v>28</v>
      </c>
      <c r="D30" s="1" t="s">
        <v>20</v>
      </c>
      <c r="E30" s="1" t="s">
        <v>25</v>
      </c>
      <c r="F30" s="1" t="s">
        <v>55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5" t="s">
        <v>23</v>
      </c>
      <c r="M30" s="12">
        <f>IFERROR(Table1[[#This Row],[Quantity]]*Table1[[#This Row],[Unit Price]],"")</f>
        <v>4698.18</v>
      </c>
    </row>
    <row r="31" spans="1:19">
      <c r="A31" s="4" t="s">
        <v>70</v>
      </c>
      <c r="B31" s="2">
        <v>44975</v>
      </c>
      <c r="C31" s="1" t="s">
        <v>59</v>
      </c>
      <c r="D31" s="1" t="s">
        <v>39</v>
      </c>
      <c r="E31" s="1" t="s">
        <v>25</v>
      </c>
      <c r="F31" s="1" t="s">
        <v>55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5" t="s">
        <v>23</v>
      </c>
      <c r="M31" s="12">
        <f>IFERROR(Table1[[#This Row],[Quantity]]*Table1[[#This Row],[Unit Price]],"")</f>
        <v>7370.1600000000008</v>
      </c>
    </row>
    <row r="32" spans="1:19">
      <c r="A32" s="4" t="s">
        <v>71</v>
      </c>
      <c r="B32" s="2">
        <v>44985</v>
      </c>
      <c r="C32" s="1" t="s">
        <v>19</v>
      </c>
      <c r="D32" s="1" t="s">
        <v>20</v>
      </c>
      <c r="E32" s="1" t="s">
        <v>21</v>
      </c>
      <c r="F32" s="1" t="s">
        <v>45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5" t="s">
        <v>23</v>
      </c>
      <c r="M32" s="12">
        <f>IFERROR(Table1[[#This Row],[Quantity]]*Table1[[#This Row],[Unit Price]],"")</f>
        <v>1067.29</v>
      </c>
    </row>
    <row r="33" spans="1:13">
      <c r="A33" s="4" t="s">
        <v>72</v>
      </c>
      <c r="B33" s="2">
        <v>45096</v>
      </c>
      <c r="C33" s="1" t="s">
        <v>51</v>
      </c>
      <c r="D33" s="1" t="s">
        <v>20</v>
      </c>
      <c r="E33" s="1" t="s">
        <v>15</v>
      </c>
      <c r="F33" s="1" t="s">
        <v>29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5" t="s">
        <v>23</v>
      </c>
      <c r="M33" s="12">
        <f>IFERROR(Table1[[#This Row],[Quantity]]*Table1[[#This Row],[Unit Price]],"")</f>
        <v>7335.48</v>
      </c>
    </row>
    <row r="34" spans="1:13">
      <c r="A34" s="4" t="s">
        <v>73</v>
      </c>
      <c r="B34" s="2">
        <v>45114</v>
      </c>
      <c r="C34" s="1" t="s">
        <v>13</v>
      </c>
      <c r="D34" s="1" t="s">
        <v>20</v>
      </c>
      <c r="E34" s="1" t="s">
        <v>15</v>
      </c>
      <c r="F34" s="1" t="s">
        <v>29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5" t="s">
        <v>30</v>
      </c>
      <c r="M34" s="12">
        <f>IFERROR(Table1[[#This Row],[Quantity]]*Table1[[#This Row],[Unit Price]],"")</f>
        <v>1672.95</v>
      </c>
    </row>
    <row r="35" spans="1:13">
      <c r="A35" s="4" t="s">
        <v>74</v>
      </c>
      <c r="B35" s="2">
        <v>45197</v>
      </c>
      <c r="C35" s="1" t="s">
        <v>36</v>
      </c>
      <c r="D35" s="1" t="s">
        <v>39</v>
      </c>
      <c r="E35" s="1" t="s">
        <v>21</v>
      </c>
      <c r="F35" s="1" t="s">
        <v>22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5" t="s">
        <v>34</v>
      </c>
      <c r="M35" s="12">
        <f>IFERROR(Table1[[#This Row],[Quantity]]*Table1[[#This Row],[Unit Price]],"")</f>
        <v>3526.28</v>
      </c>
    </row>
    <row r="36" spans="1:13">
      <c r="A36" s="4" t="s">
        <v>75</v>
      </c>
      <c r="B36" s="2">
        <v>45116</v>
      </c>
      <c r="C36" s="1" t="s">
        <v>19</v>
      </c>
      <c r="D36" s="1" t="s">
        <v>14</v>
      </c>
      <c r="E36" s="1" t="s">
        <v>21</v>
      </c>
      <c r="F36" s="1" t="s">
        <v>48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5" t="s">
        <v>34</v>
      </c>
      <c r="M36" s="12">
        <f>IFERROR(Table1[[#This Row],[Quantity]]*Table1[[#This Row],[Unit Price]],"")</f>
        <v>4832.5499999999993</v>
      </c>
    </row>
    <row r="37" spans="1:13">
      <c r="A37" s="4" t="s">
        <v>76</v>
      </c>
      <c r="B37" s="2">
        <v>45101</v>
      </c>
      <c r="C37" s="1" t="s">
        <v>28</v>
      </c>
      <c r="D37" s="1" t="s">
        <v>14</v>
      </c>
      <c r="E37" s="1" t="s">
        <v>21</v>
      </c>
      <c r="F37" s="1" t="s">
        <v>22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5" t="s">
        <v>34</v>
      </c>
      <c r="M37" s="12">
        <f>IFERROR(Table1[[#This Row],[Quantity]]*Table1[[#This Row],[Unit Price]],"")</f>
        <v>6396.5999999999995</v>
      </c>
    </row>
    <row r="38" spans="1:13">
      <c r="A38" s="4" t="s">
        <v>77</v>
      </c>
      <c r="B38" s="2">
        <v>44977</v>
      </c>
      <c r="C38" s="1" t="s">
        <v>19</v>
      </c>
      <c r="D38" s="1" t="s">
        <v>39</v>
      </c>
      <c r="E38" s="1" t="s">
        <v>15</v>
      </c>
      <c r="F38" s="1" t="s">
        <v>40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5" t="s">
        <v>17</v>
      </c>
      <c r="M38" s="12">
        <f>IFERROR(Table1[[#This Row],[Quantity]]*Table1[[#This Row],[Unit Price]],"")</f>
        <v>8746.380000000001</v>
      </c>
    </row>
    <row r="39" spans="1:13">
      <c r="A39" s="4" t="s">
        <v>78</v>
      </c>
      <c r="B39" s="2">
        <v>45290</v>
      </c>
      <c r="C39" s="1" t="s">
        <v>13</v>
      </c>
      <c r="D39" s="1" t="s">
        <v>14</v>
      </c>
      <c r="E39" s="1" t="s">
        <v>25</v>
      </c>
      <c r="F39" s="1" t="s">
        <v>52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5" t="s">
        <v>34</v>
      </c>
      <c r="M39" s="12">
        <f>IFERROR(Table1[[#This Row],[Quantity]]*Table1[[#This Row],[Unit Price]],"")</f>
        <v>1334.62</v>
      </c>
    </row>
    <row r="40" spans="1:13">
      <c r="A40" s="4" t="s">
        <v>79</v>
      </c>
      <c r="B40" s="2">
        <v>44981</v>
      </c>
      <c r="C40" s="1" t="s">
        <v>28</v>
      </c>
      <c r="D40" s="1" t="s">
        <v>14</v>
      </c>
      <c r="E40" s="1" t="s">
        <v>25</v>
      </c>
      <c r="F40" s="1" t="s">
        <v>52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5" t="s">
        <v>30</v>
      </c>
      <c r="M40" s="12">
        <f>IFERROR(Table1[[#This Row],[Quantity]]*Table1[[#This Row],[Unit Price]],"")</f>
        <v>1394.5</v>
      </c>
    </row>
    <row r="41" spans="1:13">
      <c r="A41" s="4" t="s">
        <v>80</v>
      </c>
      <c r="B41" s="2">
        <v>45170</v>
      </c>
      <c r="C41" s="1" t="s">
        <v>28</v>
      </c>
      <c r="D41" s="1" t="s">
        <v>14</v>
      </c>
      <c r="E41" s="1" t="s">
        <v>25</v>
      </c>
      <c r="F41" s="1" t="s">
        <v>26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5" t="s">
        <v>34</v>
      </c>
      <c r="M41" s="12">
        <f>IFERROR(Table1[[#This Row],[Quantity]]*Table1[[#This Row],[Unit Price]],"")</f>
        <v>1716.32</v>
      </c>
    </row>
    <row r="42" spans="1:13">
      <c r="A42" s="4" t="s">
        <v>81</v>
      </c>
      <c r="B42" s="2">
        <v>45246</v>
      </c>
      <c r="C42" s="1" t="s">
        <v>36</v>
      </c>
      <c r="D42" s="1" t="s">
        <v>39</v>
      </c>
      <c r="E42" s="1" t="s">
        <v>21</v>
      </c>
      <c r="F42" s="1" t="s">
        <v>45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5" t="s">
        <v>30</v>
      </c>
      <c r="M42" s="12">
        <f>IFERROR(Table1[[#This Row],[Quantity]]*Table1[[#This Row],[Unit Price]],"")</f>
        <v>3167.88</v>
      </c>
    </row>
    <row r="43" spans="1:13">
      <c r="A43" s="4" t="s">
        <v>82</v>
      </c>
      <c r="B43" s="2">
        <v>45057</v>
      </c>
      <c r="C43" s="1" t="s">
        <v>33</v>
      </c>
      <c r="D43" s="1" t="s">
        <v>20</v>
      </c>
      <c r="E43" s="1" t="s">
        <v>15</v>
      </c>
      <c r="F43" s="1" t="s">
        <v>40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5" t="s">
        <v>30</v>
      </c>
      <c r="M43" s="12">
        <f>IFERROR(Table1[[#This Row],[Quantity]]*Table1[[#This Row],[Unit Price]],"")</f>
        <v>1747.68</v>
      </c>
    </row>
    <row r="44" spans="1:13">
      <c r="A44" s="4" t="s">
        <v>83</v>
      </c>
      <c r="B44" s="2">
        <v>45233</v>
      </c>
      <c r="C44" s="1" t="s">
        <v>44</v>
      </c>
      <c r="D44" s="1" t="s">
        <v>39</v>
      </c>
      <c r="E44" s="1" t="s">
        <v>25</v>
      </c>
      <c r="F44" s="1" t="s">
        <v>55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5" t="s">
        <v>23</v>
      </c>
      <c r="M44" s="12">
        <f>IFERROR(Table1[[#This Row],[Quantity]]*Table1[[#This Row],[Unit Price]],"")</f>
        <v>4977.66</v>
      </c>
    </row>
    <row r="45" spans="1:13">
      <c r="A45" s="4" t="s">
        <v>84</v>
      </c>
      <c r="B45" s="2">
        <v>45061</v>
      </c>
      <c r="C45" s="1" t="s">
        <v>44</v>
      </c>
      <c r="D45" s="1" t="s">
        <v>14</v>
      </c>
      <c r="E45" s="1" t="s">
        <v>15</v>
      </c>
      <c r="F45" s="1" t="s">
        <v>29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5" t="s">
        <v>30</v>
      </c>
      <c r="M45" s="12">
        <f>IFERROR(Table1[[#This Row],[Quantity]]*Table1[[#This Row],[Unit Price]],"")</f>
        <v>348.06</v>
      </c>
    </row>
    <row r="46" spans="1:13">
      <c r="A46" s="4" t="s">
        <v>85</v>
      </c>
      <c r="B46" s="2">
        <v>44947</v>
      </c>
      <c r="C46" s="1" t="s">
        <v>33</v>
      </c>
      <c r="D46" s="1" t="s">
        <v>42</v>
      </c>
      <c r="E46" s="1" t="s">
        <v>25</v>
      </c>
      <c r="F46" s="1" t="s">
        <v>52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5" t="s">
        <v>17</v>
      </c>
      <c r="M46" s="12">
        <f>IFERROR(Table1[[#This Row],[Quantity]]*Table1[[#This Row],[Unit Price]],"")</f>
        <v>1190.6400000000001</v>
      </c>
    </row>
    <row r="47" spans="1:13">
      <c r="A47" s="4" t="s">
        <v>86</v>
      </c>
      <c r="B47" s="2">
        <v>45255</v>
      </c>
      <c r="C47" s="1" t="s">
        <v>38</v>
      </c>
      <c r="D47" s="1" t="s">
        <v>39</v>
      </c>
      <c r="E47" s="1" t="s">
        <v>25</v>
      </c>
      <c r="F47" s="1" t="s">
        <v>55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5" t="s">
        <v>30</v>
      </c>
      <c r="M47" s="12">
        <f>IFERROR(Table1[[#This Row],[Quantity]]*Table1[[#This Row],[Unit Price]],"")</f>
        <v>9692</v>
      </c>
    </row>
    <row r="48" spans="1:13">
      <c r="A48" s="4" t="s">
        <v>87</v>
      </c>
      <c r="B48" s="2">
        <v>45093</v>
      </c>
      <c r="C48" s="1" t="s">
        <v>59</v>
      </c>
      <c r="D48" s="1" t="s">
        <v>20</v>
      </c>
      <c r="E48" s="1" t="s">
        <v>15</v>
      </c>
      <c r="F48" s="1" t="s">
        <v>29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5" t="s">
        <v>23</v>
      </c>
      <c r="M48" s="12">
        <f>IFERROR(Table1[[#This Row],[Quantity]]*Table1[[#This Row],[Unit Price]],"")</f>
        <v>2651.91</v>
      </c>
    </row>
    <row r="49" spans="1:13">
      <c r="A49" s="4" t="s">
        <v>88</v>
      </c>
      <c r="B49" s="2">
        <v>45200</v>
      </c>
      <c r="C49" s="1" t="s">
        <v>44</v>
      </c>
      <c r="D49" s="1" t="s">
        <v>42</v>
      </c>
      <c r="E49" s="1" t="s">
        <v>25</v>
      </c>
      <c r="F49" s="1" t="s">
        <v>55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5" t="s">
        <v>23</v>
      </c>
      <c r="M49" s="12">
        <f>IFERROR(Table1[[#This Row],[Quantity]]*Table1[[#This Row],[Unit Price]],"")</f>
        <v>10686.62</v>
      </c>
    </row>
    <row r="50" spans="1:13">
      <c r="A50" s="4" t="s">
        <v>89</v>
      </c>
      <c r="B50" s="2">
        <v>45015</v>
      </c>
      <c r="C50" s="1" t="s">
        <v>90</v>
      </c>
      <c r="D50" s="1" t="s">
        <v>39</v>
      </c>
      <c r="E50" s="1" t="s">
        <v>25</v>
      </c>
      <c r="F50" s="1" t="s">
        <v>52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5" t="s">
        <v>34</v>
      </c>
      <c r="M50" s="12">
        <f>IFERROR(Table1[[#This Row],[Quantity]]*Table1[[#This Row],[Unit Price]],"")</f>
        <v>2518.44</v>
      </c>
    </row>
    <row r="51" spans="1:13">
      <c r="A51" s="4" t="s">
        <v>91</v>
      </c>
      <c r="B51" s="2">
        <v>45242</v>
      </c>
      <c r="C51" s="1" t="s">
        <v>38</v>
      </c>
      <c r="D51" s="1" t="s">
        <v>39</v>
      </c>
      <c r="E51" s="1" t="s">
        <v>15</v>
      </c>
      <c r="F51" s="1" t="s">
        <v>40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5" t="s">
        <v>17</v>
      </c>
      <c r="M51" s="12">
        <f>IFERROR(Table1[[#This Row],[Quantity]]*Table1[[#This Row],[Unit Price]],"")</f>
        <v>4758.12</v>
      </c>
    </row>
    <row r="52" spans="1:13">
      <c r="A52" s="4" t="s">
        <v>92</v>
      </c>
      <c r="B52" s="2">
        <v>44940</v>
      </c>
      <c r="C52" s="1" t="s">
        <v>28</v>
      </c>
      <c r="D52" s="1" t="s">
        <v>20</v>
      </c>
      <c r="E52" s="1" t="s">
        <v>25</v>
      </c>
      <c r="F52" s="1" t="s">
        <v>55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5" t="s">
        <v>23</v>
      </c>
      <c r="M52" s="12">
        <f>IFERROR(Table1[[#This Row],[Quantity]]*Table1[[#This Row],[Unit Price]],"")</f>
        <v>11091.220000000001</v>
      </c>
    </row>
    <row r="53" spans="1:13">
      <c r="A53" s="4" t="s">
        <v>93</v>
      </c>
      <c r="B53" s="2">
        <v>45168</v>
      </c>
      <c r="C53" s="1" t="s">
        <v>33</v>
      </c>
      <c r="D53" s="1" t="s">
        <v>20</v>
      </c>
      <c r="E53" s="1" t="s">
        <v>15</v>
      </c>
      <c r="F53" s="1" t="s">
        <v>40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5" t="s">
        <v>30</v>
      </c>
      <c r="M53" s="12">
        <f>IFERROR(Table1[[#This Row],[Quantity]]*Table1[[#This Row],[Unit Price]],"")</f>
        <v>7501.8499999999995</v>
      </c>
    </row>
    <row r="54" spans="1:13">
      <c r="A54" s="4" t="s">
        <v>94</v>
      </c>
      <c r="B54" s="2">
        <v>45191</v>
      </c>
      <c r="C54" s="1" t="s">
        <v>38</v>
      </c>
      <c r="D54" s="1" t="s">
        <v>14</v>
      </c>
      <c r="E54" s="1" t="s">
        <v>25</v>
      </c>
      <c r="F54" s="1" t="s">
        <v>52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5" t="s">
        <v>17</v>
      </c>
      <c r="M54" s="12">
        <f>IFERROR(Table1[[#This Row],[Quantity]]*Table1[[#This Row],[Unit Price]],"")</f>
        <v>292.13</v>
      </c>
    </row>
    <row r="55" spans="1:13">
      <c r="A55" s="4" t="s">
        <v>95</v>
      </c>
      <c r="B55" s="2">
        <v>45272</v>
      </c>
      <c r="C55" s="1" t="s">
        <v>44</v>
      </c>
      <c r="D55" s="1" t="s">
        <v>14</v>
      </c>
      <c r="E55" s="1" t="s">
        <v>21</v>
      </c>
      <c r="F55" s="1" t="s">
        <v>48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5" t="s">
        <v>30</v>
      </c>
      <c r="M55" s="12">
        <f>IFERROR(Table1[[#This Row],[Quantity]]*Table1[[#This Row],[Unit Price]],"")</f>
        <v>5376.5999999999995</v>
      </c>
    </row>
    <row r="56" spans="1:13">
      <c r="A56" s="4" t="s">
        <v>96</v>
      </c>
      <c r="B56" s="2">
        <v>44979</v>
      </c>
      <c r="C56" s="1" t="s">
        <v>90</v>
      </c>
      <c r="D56" s="1" t="s">
        <v>42</v>
      </c>
      <c r="E56" s="1" t="s">
        <v>25</v>
      </c>
      <c r="F56" s="1" t="s">
        <v>26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5" t="s">
        <v>30</v>
      </c>
      <c r="M56" s="12">
        <f>IFERROR(Table1[[#This Row],[Quantity]]*Table1[[#This Row],[Unit Price]],"")</f>
        <v>13813.800000000001</v>
      </c>
    </row>
    <row r="57" spans="1:13">
      <c r="A57" s="4" t="s">
        <v>97</v>
      </c>
      <c r="B57" s="2">
        <v>45266</v>
      </c>
      <c r="C57" s="1" t="s">
        <v>33</v>
      </c>
      <c r="D57" s="1" t="s">
        <v>39</v>
      </c>
      <c r="E57" s="1" t="s">
        <v>21</v>
      </c>
      <c r="F57" s="1" t="s">
        <v>45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5" t="s">
        <v>23</v>
      </c>
      <c r="M57" s="12">
        <f>IFERROR(Table1[[#This Row],[Quantity]]*Table1[[#This Row],[Unit Price]],"")</f>
        <v>933.83999999999992</v>
      </c>
    </row>
    <row r="58" spans="1:13">
      <c r="A58" s="4" t="s">
        <v>98</v>
      </c>
      <c r="B58" s="2">
        <v>45018</v>
      </c>
      <c r="C58" s="1" t="s">
        <v>38</v>
      </c>
      <c r="D58" s="1" t="s">
        <v>20</v>
      </c>
      <c r="E58" s="1" t="s">
        <v>21</v>
      </c>
      <c r="F58" s="1" t="s">
        <v>22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5" t="s">
        <v>30</v>
      </c>
      <c r="M58" s="12">
        <f>IFERROR(Table1[[#This Row],[Quantity]]*Table1[[#This Row],[Unit Price]],"")</f>
        <v>13626</v>
      </c>
    </row>
    <row r="59" spans="1:13">
      <c r="A59" s="4" t="s">
        <v>99</v>
      </c>
      <c r="B59" s="2">
        <v>45190</v>
      </c>
      <c r="C59" s="1" t="s">
        <v>13</v>
      </c>
      <c r="D59" s="1" t="s">
        <v>39</v>
      </c>
      <c r="E59" s="1" t="s">
        <v>25</v>
      </c>
      <c r="F59" s="1" t="s">
        <v>55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5" t="s">
        <v>23</v>
      </c>
      <c r="M59" s="12">
        <f>IFERROR(Table1[[#This Row],[Quantity]]*Table1[[#This Row],[Unit Price]],"")</f>
        <v>8831.2000000000007</v>
      </c>
    </row>
    <row r="60" spans="1:13">
      <c r="A60" s="4" t="s">
        <v>100</v>
      </c>
      <c r="B60" s="2">
        <v>44961</v>
      </c>
      <c r="C60" s="1" t="s">
        <v>33</v>
      </c>
      <c r="D60" s="1" t="s">
        <v>20</v>
      </c>
      <c r="E60" s="1" t="s">
        <v>25</v>
      </c>
      <c r="F60" s="1" t="s">
        <v>26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5" t="s">
        <v>34</v>
      </c>
      <c r="M60" s="12">
        <f>IFERROR(Table1[[#This Row],[Quantity]]*Table1[[#This Row],[Unit Price]],"")</f>
        <v>2903.3999999999996</v>
      </c>
    </row>
    <row r="61" spans="1:13">
      <c r="A61" s="4" t="s">
        <v>101</v>
      </c>
      <c r="B61" s="2">
        <v>45132</v>
      </c>
      <c r="C61" s="1" t="s">
        <v>38</v>
      </c>
      <c r="D61" s="1" t="s">
        <v>20</v>
      </c>
      <c r="E61" s="1" t="s">
        <v>25</v>
      </c>
      <c r="F61" s="1" t="s">
        <v>52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5" t="s">
        <v>30</v>
      </c>
      <c r="M61" s="12">
        <f>IFERROR(Table1[[#This Row],[Quantity]]*Table1[[#This Row],[Unit Price]],"")</f>
        <v>1292.3599999999999</v>
      </c>
    </row>
    <row r="62" spans="1:13">
      <c r="A62" s="4" t="s">
        <v>102</v>
      </c>
      <c r="B62" s="2">
        <v>45007</v>
      </c>
      <c r="C62" s="1" t="s">
        <v>28</v>
      </c>
      <c r="D62" s="1" t="s">
        <v>39</v>
      </c>
      <c r="E62" s="1" t="s">
        <v>21</v>
      </c>
      <c r="F62" s="1" t="s">
        <v>48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5" t="s">
        <v>23</v>
      </c>
      <c r="M62" s="12">
        <f>IFERROR(Table1[[#This Row],[Quantity]]*Table1[[#This Row],[Unit Price]],"")</f>
        <v>10226</v>
      </c>
    </row>
    <row r="63" spans="1:13">
      <c r="A63" s="4" t="s">
        <v>103</v>
      </c>
      <c r="B63" s="2">
        <v>44976</v>
      </c>
      <c r="C63" s="1" t="s">
        <v>44</v>
      </c>
      <c r="D63" s="1" t="s">
        <v>42</v>
      </c>
      <c r="E63" s="1" t="s">
        <v>21</v>
      </c>
      <c r="F63" s="1" t="s">
        <v>22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5" t="s">
        <v>34</v>
      </c>
      <c r="M63" s="12">
        <f>IFERROR(Table1[[#This Row],[Quantity]]*Table1[[#This Row],[Unit Price]],"")</f>
        <v>5345.0999999999995</v>
      </c>
    </row>
    <row r="64" spans="1:13">
      <c r="A64" s="4" t="s">
        <v>104</v>
      </c>
      <c r="B64" s="2">
        <v>45286</v>
      </c>
      <c r="C64" s="1" t="s">
        <v>13</v>
      </c>
      <c r="D64" s="1" t="s">
        <v>20</v>
      </c>
      <c r="E64" s="1" t="s">
        <v>25</v>
      </c>
      <c r="F64" s="1" t="s">
        <v>55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5" t="s">
        <v>34</v>
      </c>
      <c r="M64" s="12">
        <f>IFERROR(Table1[[#This Row],[Quantity]]*Table1[[#This Row],[Unit Price]],"")</f>
        <v>4988.46</v>
      </c>
    </row>
    <row r="65" spans="1:13">
      <c r="A65" s="4" t="s">
        <v>105</v>
      </c>
      <c r="B65" s="2">
        <v>44928</v>
      </c>
      <c r="C65" s="1" t="s">
        <v>19</v>
      </c>
      <c r="D65" s="1" t="s">
        <v>39</v>
      </c>
      <c r="E65" s="1" t="s">
        <v>21</v>
      </c>
      <c r="F65" s="1" t="s">
        <v>48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5" t="s">
        <v>34</v>
      </c>
      <c r="M65" s="12">
        <f>IFERROR(Table1[[#This Row],[Quantity]]*Table1[[#This Row],[Unit Price]],"")</f>
        <v>14125.28</v>
      </c>
    </row>
    <row r="66" spans="1:13">
      <c r="A66" s="4" t="s">
        <v>106</v>
      </c>
      <c r="B66" s="2">
        <v>44980</v>
      </c>
      <c r="C66" s="1" t="s">
        <v>28</v>
      </c>
      <c r="D66" s="1" t="s">
        <v>20</v>
      </c>
      <c r="E66" s="1" t="s">
        <v>21</v>
      </c>
      <c r="F66" s="1" t="s">
        <v>22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5" t="s">
        <v>34</v>
      </c>
      <c r="M66" s="12">
        <f>IFERROR(Table1[[#This Row],[Quantity]]*Table1[[#This Row],[Unit Price]],"")</f>
        <v>3951.64</v>
      </c>
    </row>
    <row r="67" spans="1:13">
      <c r="A67" s="4" t="s">
        <v>107</v>
      </c>
      <c r="B67" s="2">
        <v>45032</v>
      </c>
      <c r="C67" s="1" t="s">
        <v>44</v>
      </c>
      <c r="D67" s="1" t="s">
        <v>42</v>
      </c>
      <c r="E67" s="1" t="s">
        <v>21</v>
      </c>
      <c r="F67" s="1" t="s">
        <v>45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5" t="s">
        <v>30</v>
      </c>
      <c r="M67" s="12">
        <f>IFERROR(Table1[[#This Row],[Quantity]]*Table1[[#This Row],[Unit Price]],"")</f>
        <v>1692.82</v>
      </c>
    </row>
    <row r="68" spans="1:13">
      <c r="A68" s="4" t="s">
        <v>108</v>
      </c>
      <c r="B68" s="2">
        <v>45186</v>
      </c>
      <c r="C68" s="1" t="s">
        <v>13</v>
      </c>
      <c r="D68" s="1" t="s">
        <v>20</v>
      </c>
      <c r="E68" s="1" t="s">
        <v>15</v>
      </c>
      <c r="F68" s="1" t="s">
        <v>40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5" t="s">
        <v>34</v>
      </c>
      <c r="M68" s="12">
        <f>IFERROR(Table1[[#This Row],[Quantity]]*Table1[[#This Row],[Unit Price]],"")</f>
        <v>1115.26</v>
      </c>
    </row>
    <row r="69" spans="1:13">
      <c r="A69" s="4" t="s">
        <v>109</v>
      </c>
      <c r="B69" s="2">
        <v>45236</v>
      </c>
      <c r="C69" s="1" t="s">
        <v>90</v>
      </c>
      <c r="D69" s="1" t="s">
        <v>42</v>
      </c>
      <c r="E69" s="1" t="s">
        <v>25</v>
      </c>
      <c r="F69" s="1" t="s">
        <v>55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5" t="s">
        <v>34</v>
      </c>
      <c r="M69" s="12">
        <f>IFERROR(Table1[[#This Row],[Quantity]]*Table1[[#This Row],[Unit Price]],"")</f>
        <v>1709.88</v>
      </c>
    </row>
    <row r="70" spans="1:13">
      <c r="A70" s="4" t="s">
        <v>110</v>
      </c>
      <c r="B70" s="2">
        <v>45117</v>
      </c>
      <c r="C70" s="1" t="s">
        <v>59</v>
      </c>
      <c r="D70" s="1" t="s">
        <v>20</v>
      </c>
      <c r="E70" s="1" t="s">
        <v>21</v>
      </c>
      <c r="F70" s="1" t="s">
        <v>22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5" t="s">
        <v>23</v>
      </c>
      <c r="M70" s="12">
        <f>IFERROR(Table1[[#This Row],[Quantity]]*Table1[[#This Row],[Unit Price]],"")</f>
        <v>1538.3</v>
      </c>
    </row>
    <row r="71" spans="1:13">
      <c r="A71" s="4" t="s">
        <v>111</v>
      </c>
      <c r="B71" s="2">
        <v>45144</v>
      </c>
      <c r="C71" s="1" t="s">
        <v>44</v>
      </c>
      <c r="D71" s="1" t="s">
        <v>14</v>
      </c>
      <c r="E71" s="1" t="s">
        <v>21</v>
      </c>
      <c r="F71" s="1" t="s">
        <v>48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5" t="s">
        <v>30</v>
      </c>
      <c r="M71" s="12">
        <f>IFERROR(Table1[[#This Row],[Quantity]]*Table1[[#This Row],[Unit Price]],"")</f>
        <v>9404.4000000000015</v>
      </c>
    </row>
    <row r="72" spans="1:13">
      <c r="A72" s="4" t="s">
        <v>112</v>
      </c>
      <c r="B72" s="2">
        <v>44970</v>
      </c>
      <c r="C72" s="1" t="s">
        <v>33</v>
      </c>
      <c r="D72" s="1" t="s">
        <v>20</v>
      </c>
      <c r="E72" s="1" t="s">
        <v>25</v>
      </c>
      <c r="F72" s="1" t="s">
        <v>52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5" t="s">
        <v>17</v>
      </c>
      <c r="M72" s="12">
        <f>IFERROR(Table1[[#This Row],[Quantity]]*Table1[[#This Row],[Unit Price]],"")</f>
        <v>10988.28</v>
      </c>
    </row>
    <row r="73" spans="1:13">
      <c r="A73" s="4" t="s">
        <v>113</v>
      </c>
      <c r="B73" s="2">
        <v>45088</v>
      </c>
      <c r="C73" s="1" t="s">
        <v>90</v>
      </c>
      <c r="D73" s="1" t="s">
        <v>20</v>
      </c>
      <c r="E73" s="1" t="s">
        <v>15</v>
      </c>
      <c r="F73" s="1" t="s">
        <v>40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5" t="s">
        <v>23</v>
      </c>
      <c r="M73" s="12">
        <f>IFERROR(Table1[[#This Row],[Quantity]]*Table1[[#This Row],[Unit Price]],"")</f>
        <v>1532.24</v>
      </c>
    </row>
    <row r="74" spans="1:13">
      <c r="A74" s="4" t="s">
        <v>114</v>
      </c>
      <c r="B74" s="2">
        <v>45128</v>
      </c>
      <c r="C74" s="1" t="s">
        <v>28</v>
      </c>
      <c r="D74" s="1" t="s">
        <v>20</v>
      </c>
      <c r="E74" s="1" t="s">
        <v>25</v>
      </c>
      <c r="F74" s="1" t="s">
        <v>52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5" t="s">
        <v>34</v>
      </c>
      <c r="M74" s="12">
        <f>IFERROR(Table1[[#This Row],[Quantity]]*Table1[[#This Row],[Unit Price]],"")</f>
        <v>1588.94</v>
      </c>
    </row>
    <row r="75" spans="1:13">
      <c r="A75" s="4" t="s">
        <v>115</v>
      </c>
      <c r="B75" s="2">
        <v>45196</v>
      </c>
      <c r="C75" s="1" t="s">
        <v>36</v>
      </c>
      <c r="D75" s="1" t="s">
        <v>39</v>
      </c>
      <c r="E75" s="1" t="s">
        <v>25</v>
      </c>
      <c r="F75" s="1" t="s">
        <v>55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5" t="s">
        <v>34</v>
      </c>
      <c r="M75" s="12">
        <f>IFERROR(Table1[[#This Row],[Quantity]]*Table1[[#This Row],[Unit Price]],"")</f>
        <v>3891.04</v>
      </c>
    </row>
    <row r="76" spans="1:13">
      <c r="A76" s="4" t="s">
        <v>116</v>
      </c>
      <c r="B76" s="2">
        <v>45277</v>
      </c>
      <c r="C76" s="1" t="s">
        <v>90</v>
      </c>
      <c r="D76" s="1" t="s">
        <v>20</v>
      </c>
      <c r="E76" s="1" t="s">
        <v>21</v>
      </c>
      <c r="F76" s="1" t="s">
        <v>48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5" t="s">
        <v>34</v>
      </c>
      <c r="M76" s="12">
        <f>IFERROR(Table1[[#This Row],[Quantity]]*Table1[[#This Row],[Unit Price]],"")</f>
        <v>3800.4500000000003</v>
      </c>
    </row>
    <row r="77" spans="1:13">
      <c r="A77" s="4" t="s">
        <v>117</v>
      </c>
      <c r="B77" s="2">
        <v>45230</v>
      </c>
      <c r="C77" s="1" t="s">
        <v>59</v>
      </c>
      <c r="D77" s="1" t="s">
        <v>42</v>
      </c>
      <c r="E77" s="1" t="s">
        <v>15</v>
      </c>
      <c r="F77" s="1" t="s">
        <v>16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5" t="s">
        <v>17</v>
      </c>
      <c r="M77" s="12">
        <f>IFERROR(Table1[[#This Row],[Quantity]]*Table1[[#This Row],[Unit Price]],"")</f>
        <v>8553.42</v>
      </c>
    </row>
    <row r="78" spans="1:13">
      <c r="A78" s="4" t="s">
        <v>118</v>
      </c>
      <c r="B78" s="2">
        <v>45197</v>
      </c>
      <c r="C78" s="1" t="s">
        <v>13</v>
      </c>
      <c r="D78" s="1" t="s">
        <v>14</v>
      </c>
      <c r="E78" s="1" t="s">
        <v>15</v>
      </c>
      <c r="F78" s="1" t="s">
        <v>16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5" t="s">
        <v>30</v>
      </c>
      <c r="M78" s="12">
        <f>IFERROR(Table1[[#This Row],[Quantity]]*Table1[[#This Row],[Unit Price]],"")</f>
        <v>2487.36</v>
      </c>
    </row>
    <row r="79" spans="1:13">
      <c r="A79" s="4" t="s">
        <v>119</v>
      </c>
      <c r="B79" s="2">
        <v>45141</v>
      </c>
      <c r="C79" s="1" t="s">
        <v>28</v>
      </c>
      <c r="D79" s="1" t="s">
        <v>14</v>
      </c>
      <c r="E79" s="1" t="s">
        <v>21</v>
      </c>
      <c r="F79" s="1" t="s">
        <v>22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5" t="s">
        <v>23</v>
      </c>
      <c r="M79" s="12">
        <f>IFERROR(Table1[[#This Row],[Quantity]]*Table1[[#This Row],[Unit Price]],"")</f>
        <v>1611.1799999999998</v>
      </c>
    </row>
    <row r="80" spans="1:13">
      <c r="A80" s="4" t="s">
        <v>120</v>
      </c>
      <c r="B80" s="2">
        <v>45178</v>
      </c>
      <c r="C80" s="1" t="s">
        <v>59</v>
      </c>
      <c r="D80" s="1" t="s">
        <v>14</v>
      </c>
      <c r="E80" s="1" t="s">
        <v>25</v>
      </c>
      <c r="F80" s="1" t="s">
        <v>52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5" t="s">
        <v>17</v>
      </c>
      <c r="M80" s="12">
        <f>IFERROR(Table1[[#This Row],[Quantity]]*Table1[[#This Row],[Unit Price]],"")</f>
        <v>2478.15</v>
      </c>
    </row>
    <row r="81" spans="1:13">
      <c r="A81" s="4" t="s">
        <v>121</v>
      </c>
      <c r="B81" s="2">
        <v>45116</v>
      </c>
      <c r="C81" s="1" t="s">
        <v>90</v>
      </c>
      <c r="D81" s="1" t="s">
        <v>42</v>
      </c>
      <c r="E81" s="1" t="s">
        <v>15</v>
      </c>
      <c r="F81" s="1" t="s">
        <v>29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5" t="s">
        <v>30</v>
      </c>
      <c r="M81" s="12">
        <f>IFERROR(Table1[[#This Row],[Quantity]]*Table1[[#This Row],[Unit Price]],"")</f>
        <v>626.07000000000005</v>
      </c>
    </row>
    <row r="82" spans="1:13">
      <c r="A82" s="4" t="s">
        <v>122</v>
      </c>
      <c r="B82" s="2">
        <v>45222</v>
      </c>
      <c r="C82" s="1" t="s">
        <v>59</v>
      </c>
      <c r="D82" s="1" t="s">
        <v>14</v>
      </c>
      <c r="E82" s="1" t="s">
        <v>15</v>
      </c>
      <c r="F82" s="1" t="s">
        <v>16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5" t="s">
        <v>34</v>
      </c>
      <c r="M82" s="12">
        <f>IFERROR(Table1[[#This Row],[Quantity]]*Table1[[#This Row],[Unit Price]],"")</f>
        <v>8164.72</v>
      </c>
    </row>
    <row r="83" spans="1:13">
      <c r="A83" s="4" t="s">
        <v>123</v>
      </c>
      <c r="B83" s="2">
        <v>45139</v>
      </c>
      <c r="C83" s="1" t="s">
        <v>33</v>
      </c>
      <c r="D83" s="1" t="s">
        <v>14</v>
      </c>
      <c r="E83" s="1" t="s">
        <v>21</v>
      </c>
      <c r="F83" s="1" t="s">
        <v>48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5" t="s">
        <v>23</v>
      </c>
      <c r="M83" s="12">
        <f>IFERROR(Table1[[#This Row],[Quantity]]*Table1[[#This Row],[Unit Price]],"")</f>
        <v>2823.36</v>
      </c>
    </row>
    <row r="84" spans="1:13">
      <c r="A84" s="4" t="s">
        <v>124</v>
      </c>
      <c r="B84" s="2">
        <v>45134</v>
      </c>
      <c r="C84" s="1" t="s">
        <v>38</v>
      </c>
      <c r="D84" s="1" t="s">
        <v>42</v>
      </c>
      <c r="E84" s="1" t="s">
        <v>15</v>
      </c>
      <c r="F84" s="1" t="s">
        <v>16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5" t="s">
        <v>17</v>
      </c>
      <c r="M84" s="12">
        <f>IFERROR(Table1[[#This Row],[Quantity]]*Table1[[#This Row],[Unit Price]],"")</f>
        <v>13509.63</v>
      </c>
    </row>
    <row r="85" spans="1:13">
      <c r="A85" s="4" t="s">
        <v>125</v>
      </c>
      <c r="B85" s="2">
        <v>45163</v>
      </c>
      <c r="C85" s="1" t="s">
        <v>28</v>
      </c>
      <c r="D85" s="1" t="s">
        <v>20</v>
      </c>
      <c r="E85" s="1" t="s">
        <v>21</v>
      </c>
      <c r="F85" s="1" t="s">
        <v>48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5" t="s">
        <v>34</v>
      </c>
      <c r="M85" s="12">
        <f>IFERROR(Table1[[#This Row],[Quantity]]*Table1[[#This Row],[Unit Price]],"")</f>
        <v>16128</v>
      </c>
    </row>
    <row r="86" spans="1:13">
      <c r="A86" s="4" t="s">
        <v>126</v>
      </c>
      <c r="B86" s="2">
        <v>45264</v>
      </c>
      <c r="C86" s="1" t="s">
        <v>59</v>
      </c>
      <c r="D86" s="1" t="s">
        <v>42</v>
      </c>
      <c r="E86" s="1" t="s">
        <v>25</v>
      </c>
      <c r="F86" s="1" t="s">
        <v>52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5" t="s">
        <v>30</v>
      </c>
      <c r="M86" s="12">
        <f>IFERROR(Table1[[#This Row],[Quantity]]*Table1[[#This Row],[Unit Price]],"")</f>
        <v>4482</v>
      </c>
    </row>
    <row r="87" spans="1:13">
      <c r="A87" s="4" t="s">
        <v>127</v>
      </c>
      <c r="B87" s="2">
        <v>44979</v>
      </c>
      <c r="C87" s="1" t="s">
        <v>33</v>
      </c>
      <c r="D87" s="1" t="s">
        <v>20</v>
      </c>
      <c r="E87" s="1" t="s">
        <v>15</v>
      </c>
      <c r="F87" s="1" t="s">
        <v>40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5" t="s">
        <v>30</v>
      </c>
      <c r="M87" s="12">
        <f>IFERROR(Table1[[#This Row],[Quantity]]*Table1[[#This Row],[Unit Price]],"")</f>
        <v>6670.3499999999995</v>
      </c>
    </row>
    <row r="88" spans="1:13">
      <c r="A88" s="4" t="s">
        <v>128</v>
      </c>
      <c r="B88" s="2">
        <v>45206</v>
      </c>
      <c r="C88" s="1" t="s">
        <v>13</v>
      </c>
      <c r="D88" s="1" t="s">
        <v>14</v>
      </c>
      <c r="E88" s="1" t="s">
        <v>15</v>
      </c>
      <c r="F88" s="1" t="s">
        <v>29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5" t="s">
        <v>23</v>
      </c>
      <c r="M88" s="12">
        <f>IFERROR(Table1[[#This Row],[Quantity]]*Table1[[#This Row],[Unit Price]],"")</f>
        <v>7505.82</v>
      </c>
    </row>
    <row r="89" spans="1:13">
      <c r="A89" s="4" t="s">
        <v>129</v>
      </c>
      <c r="B89" s="2">
        <v>45143</v>
      </c>
      <c r="C89" s="1" t="s">
        <v>59</v>
      </c>
      <c r="D89" s="1" t="s">
        <v>42</v>
      </c>
      <c r="E89" s="1" t="s">
        <v>15</v>
      </c>
      <c r="F89" s="1" t="s">
        <v>40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5" t="s">
        <v>30</v>
      </c>
      <c r="M89" s="12">
        <f>IFERROR(Table1[[#This Row],[Quantity]]*Table1[[#This Row],[Unit Price]],"")</f>
        <v>14430.8</v>
      </c>
    </row>
    <row r="90" spans="1:13">
      <c r="A90" s="4" t="s">
        <v>130</v>
      </c>
      <c r="B90" s="2">
        <v>45178</v>
      </c>
      <c r="C90" s="1" t="s">
        <v>51</v>
      </c>
      <c r="D90" s="1" t="s">
        <v>14</v>
      </c>
      <c r="E90" s="1" t="s">
        <v>15</v>
      </c>
      <c r="F90" s="1" t="s">
        <v>40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5" t="s">
        <v>34</v>
      </c>
      <c r="M90" s="12">
        <f>IFERROR(Table1[[#This Row],[Quantity]]*Table1[[#This Row],[Unit Price]],"")</f>
        <v>2388.8000000000002</v>
      </c>
    </row>
    <row r="91" spans="1:13">
      <c r="A91" s="4" t="s">
        <v>131</v>
      </c>
      <c r="B91" s="2">
        <v>45114</v>
      </c>
      <c r="C91" s="1" t="s">
        <v>59</v>
      </c>
      <c r="D91" s="1" t="s">
        <v>14</v>
      </c>
      <c r="E91" s="1" t="s">
        <v>21</v>
      </c>
      <c r="F91" s="1" t="s">
        <v>48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5" t="s">
        <v>17</v>
      </c>
      <c r="M91" s="12">
        <f>IFERROR(Table1[[#This Row],[Quantity]]*Table1[[#This Row],[Unit Price]],"")</f>
        <v>4978.92</v>
      </c>
    </row>
    <row r="92" spans="1:13">
      <c r="A92" s="4" t="s">
        <v>132</v>
      </c>
      <c r="B92" s="2">
        <v>44967</v>
      </c>
      <c r="C92" s="1" t="s">
        <v>44</v>
      </c>
      <c r="D92" s="1" t="s">
        <v>39</v>
      </c>
      <c r="E92" s="1" t="s">
        <v>25</v>
      </c>
      <c r="F92" s="1" t="s">
        <v>55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5" t="s">
        <v>34</v>
      </c>
      <c r="M92" s="12">
        <f>IFERROR(Table1[[#This Row],[Quantity]]*Table1[[#This Row],[Unit Price]],"")</f>
        <v>11635.14</v>
      </c>
    </row>
    <row r="93" spans="1:13">
      <c r="A93" s="4" t="s">
        <v>133</v>
      </c>
      <c r="B93" s="2">
        <v>45083</v>
      </c>
      <c r="C93" s="1" t="s">
        <v>90</v>
      </c>
      <c r="D93" s="1" t="s">
        <v>42</v>
      </c>
      <c r="E93" s="1" t="s">
        <v>15</v>
      </c>
      <c r="F93" s="1" t="s">
        <v>29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5" t="s">
        <v>23</v>
      </c>
      <c r="M93" s="12">
        <f>IFERROR(Table1[[#This Row],[Quantity]]*Table1[[#This Row],[Unit Price]],"")</f>
        <v>7226.0999999999995</v>
      </c>
    </row>
    <row r="94" spans="1:13">
      <c r="A94" s="4" t="s">
        <v>134</v>
      </c>
      <c r="B94" s="2">
        <v>44941</v>
      </c>
      <c r="C94" s="1" t="s">
        <v>59</v>
      </c>
      <c r="D94" s="1" t="s">
        <v>14</v>
      </c>
      <c r="E94" s="1" t="s">
        <v>21</v>
      </c>
      <c r="F94" s="1" t="s">
        <v>48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5" t="s">
        <v>30</v>
      </c>
      <c r="M94" s="12">
        <f>IFERROR(Table1[[#This Row],[Quantity]]*Table1[[#This Row],[Unit Price]],"")</f>
        <v>1102.05</v>
      </c>
    </row>
    <row r="95" spans="1:13">
      <c r="A95" s="4" t="s">
        <v>135</v>
      </c>
      <c r="B95" s="2">
        <v>45227</v>
      </c>
      <c r="C95" s="1" t="s">
        <v>59</v>
      </c>
      <c r="D95" s="1" t="s">
        <v>14</v>
      </c>
      <c r="E95" s="1" t="s">
        <v>25</v>
      </c>
      <c r="F95" s="1" t="s">
        <v>26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5" t="s">
        <v>17</v>
      </c>
      <c r="M95" s="12">
        <f>IFERROR(Table1[[#This Row],[Quantity]]*Table1[[#This Row],[Unit Price]],"")</f>
        <v>525.75</v>
      </c>
    </row>
    <row r="96" spans="1:13">
      <c r="A96" s="4" t="s">
        <v>136</v>
      </c>
      <c r="B96" s="2">
        <v>44991</v>
      </c>
      <c r="C96" s="1" t="s">
        <v>13</v>
      </c>
      <c r="D96" s="1" t="s">
        <v>39</v>
      </c>
      <c r="E96" s="1" t="s">
        <v>15</v>
      </c>
      <c r="F96" s="1" t="s">
        <v>40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5" t="s">
        <v>17</v>
      </c>
      <c r="M96" s="12">
        <f>IFERROR(Table1[[#This Row],[Quantity]]*Table1[[#This Row],[Unit Price]],"")</f>
        <v>1716.38</v>
      </c>
    </row>
    <row r="97" spans="1:13">
      <c r="A97" s="4" t="s">
        <v>137</v>
      </c>
      <c r="B97" s="2">
        <v>45271</v>
      </c>
      <c r="C97" s="1" t="s">
        <v>59</v>
      </c>
      <c r="D97" s="1" t="s">
        <v>20</v>
      </c>
      <c r="E97" s="1" t="s">
        <v>25</v>
      </c>
      <c r="F97" s="1" t="s">
        <v>52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5" t="s">
        <v>34</v>
      </c>
      <c r="M97" s="12">
        <f>IFERROR(Table1[[#This Row],[Quantity]]*Table1[[#This Row],[Unit Price]],"")</f>
        <v>679.02</v>
      </c>
    </row>
    <row r="98" spans="1:13">
      <c r="A98" s="4" t="s">
        <v>138</v>
      </c>
      <c r="B98" s="2">
        <v>45253</v>
      </c>
      <c r="C98" s="1" t="s">
        <v>28</v>
      </c>
      <c r="D98" s="1" t="s">
        <v>14</v>
      </c>
      <c r="E98" s="1" t="s">
        <v>25</v>
      </c>
      <c r="F98" s="1" t="s">
        <v>52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5" t="s">
        <v>30</v>
      </c>
      <c r="M98" s="12">
        <f>IFERROR(Table1[[#This Row],[Quantity]]*Table1[[#This Row],[Unit Price]],"")</f>
        <v>1236.33</v>
      </c>
    </row>
    <row r="99" spans="1:13">
      <c r="A99" s="4" t="s">
        <v>139</v>
      </c>
      <c r="B99" s="2">
        <v>44935</v>
      </c>
      <c r="C99" s="1" t="s">
        <v>44</v>
      </c>
      <c r="D99" s="1" t="s">
        <v>20</v>
      </c>
      <c r="E99" s="1" t="s">
        <v>25</v>
      </c>
      <c r="F99" s="1" t="s">
        <v>55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5" t="s">
        <v>17</v>
      </c>
      <c r="M99" s="12">
        <f>IFERROR(Table1[[#This Row],[Quantity]]*Table1[[#This Row],[Unit Price]],"")</f>
        <v>12579.03</v>
      </c>
    </row>
    <row r="100" spans="1:13">
      <c r="A100" s="4" t="s">
        <v>140</v>
      </c>
      <c r="B100" s="2">
        <v>45270</v>
      </c>
      <c r="C100" s="1" t="s">
        <v>59</v>
      </c>
      <c r="D100" s="1" t="s">
        <v>39</v>
      </c>
      <c r="E100" s="1" t="s">
        <v>15</v>
      </c>
      <c r="F100" s="1" t="s">
        <v>29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5" t="s">
        <v>17</v>
      </c>
      <c r="M100" s="12">
        <f>IFERROR(Table1[[#This Row],[Quantity]]*Table1[[#This Row],[Unit Price]],"")</f>
        <v>6976.7100000000009</v>
      </c>
    </row>
    <row r="101" spans="1:13">
      <c r="A101" s="4" t="s">
        <v>141</v>
      </c>
      <c r="B101" s="2">
        <v>45055</v>
      </c>
      <c r="C101" s="1" t="s">
        <v>36</v>
      </c>
      <c r="D101" s="1" t="s">
        <v>20</v>
      </c>
      <c r="E101" s="1" t="s">
        <v>15</v>
      </c>
      <c r="F101" s="1" t="s">
        <v>16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5" t="s">
        <v>17</v>
      </c>
      <c r="M101" s="12">
        <f>IFERROR(Table1[[#This Row],[Quantity]]*Table1[[#This Row],[Unit Price]],"")</f>
        <v>11314.08</v>
      </c>
    </row>
    <row r="102" spans="1:13">
      <c r="A102" s="17"/>
      <c r="B102" s="18"/>
      <c r="C102" s="19"/>
      <c r="D102" s="19"/>
      <c r="E102" s="19"/>
      <c r="F102" s="19"/>
      <c r="G102" s="19" t="s">
        <v>149</v>
      </c>
      <c r="H102" s="19"/>
      <c r="I102" s="19"/>
      <c r="J102" s="19"/>
      <c r="K102" s="19"/>
      <c r="L102" s="20"/>
      <c r="M102" s="19" t="str">
        <f>IFERROR(Table1[[#This Row],[Quantity]]*Table1[[#This Row],[Unit Price]],"")</f>
        <v/>
      </c>
    </row>
  </sheetData>
  <mergeCells count="2">
    <mergeCell ref="O11:Q11"/>
    <mergeCell ref="U10:X10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ipsita dey</dc:creator>
  <cp:lastModifiedBy>ipsita dey</cp:lastModifiedBy>
  <dcterms:created xsi:type="dcterms:W3CDTF">2026-01-29T10:01:55Z</dcterms:created>
  <dcterms:modified xsi:type="dcterms:W3CDTF">2026-01-29T11:31:12Z</dcterms:modified>
</cp:coreProperties>
</file>