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Study\"/>
    </mc:Choice>
  </mc:AlternateContent>
  <xr:revisionPtr revIDLastSave="0" documentId="8_{03EC3EEA-7F6A-48FF-8771-EDC1E9C42FAB}" xr6:coauthVersionLast="47" xr6:coauthVersionMax="47" xr10:uidLastSave="{00000000-0000-0000-0000-000000000000}"/>
  <bookViews>
    <workbookView xWindow="-108" yWindow="-108" windowWidth="23256" windowHeight="12456" activeTab="2" xr2:uid="{7316094A-323F-4E59-B16B-B3B92F15887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3" l="1"/>
  <c r="G12" i="3"/>
  <c r="G13" i="3"/>
  <c r="G14" i="3"/>
  <c r="F11" i="3"/>
  <c r="F12" i="3"/>
  <c r="F13" i="3"/>
  <c r="F14" i="3"/>
  <c r="E11" i="3"/>
  <c r="E12" i="3"/>
  <c r="E13" i="3"/>
  <c r="E14" i="3"/>
  <c r="E10" i="3"/>
  <c r="F10" i="3" s="1"/>
  <c r="G10" i="3" s="1"/>
  <c r="E3" i="3" a="1"/>
  <c r="E3" i="3"/>
  <c r="E4" i="3" a="1"/>
  <c r="E4" i="3" s="1"/>
  <c r="E5" i="3" a="1"/>
  <c r="E5" i="3" s="1"/>
  <c r="E6" i="3" a="1"/>
  <c r="E6" i="3"/>
  <c r="E2" i="3" a="1"/>
  <c r="E2" i="3" s="1"/>
  <c r="D3" i="3"/>
  <c r="D4" i="3"/>
  <c r="D5" i="3"/>
  <c r="D6" i="3"/>
  <c r="D2" i="3"/>
  <c r="C3" i="3"/>
  <c r="C4" i="3"/>
  <c r="C5" i="3"/>
  <c r="C6" i="3"/>
  <c r="C2" i="3"/>
  <c r="F27" i="2"/>
  <c r="F26" i="2"/>
  <c r="F25" i="2"/>
  <c r="F24" i="2"/>
  <c r="F23" i="2"/>
  <c r="F22" i="2"/>
  <c r="K13" i="1"/>
  <c r="K14" i="1"/>
  <c r="K15" i="1"/>
  <c r="K16" i="1"/>
  <c r="K17" i="1"/>
  <c r="J14" i="1"/>
  <c r="J15" i="1"/>
  <c r="J16" i="1"/>
  <c r="J17" i="1"/>
  <c r="J13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B14" i="1"/>
  <c r="B15" i="1"/>
  <c r="B16" i="1"/>
  <c r="B17" i="1"/>
  <c r="B13" i="1"/>
  <c r="F4" i="1"/>
  <c r="F5" i="1"/>
  <c r="F6" i="1"/>
  <c r="F7" i="1"/>
  <c r="F8" i="1"/>
  <c r="E5" i="1"/>
  <c r="E6" i="1"/>
  <c r="E7" i="1"/>
  <c r="E8" i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<sst xmlns="http://schemas.openxmlformats.org/spreadsheetml/2006/main" count="131" uniqueCount="56">
  <si>
    <t>Name</t>
  </si>
  <si>
    <t>S1</t>
  </si>
  <si>
    <t>S2</t>
  </si>
  <si>
    <t>S3</t>
  </si>
  <si>
    <t>Total</t>
  </si>
  <si>
    <t>Percentage</t>
  </si>
  <si>
    <t>Ankita</t>
  </si>
  <si>
    <t>Binay</t>
  </si>
  <si>
    <t>Dipa</t>
  </si>
  <si>
    <t>Lopa</t>
  </si>
  <si>
    <t>Amit</t>
  </si>
  <si>
    <t>Full Marks</t>
  </si>
  <si>
    <t>Product</t>
  </si>
  <si>
    <t>Unit Price</t>
  </si>
  <si>
    <t>Quantity</t>
  </si>
  <si>
    <t>Laptop</t>
  </si>
  <si>
    <t>Mouse</t>
  </si>
  <si>
    <t>Keyboard</t>
  </si>
  <si>
    <t>Monitor</t>
  </si>
  <si>
    <t>Printer</t>
  </si>
  <si>
    <t>TOTAL PRICE</t>
  </si>
  <si>
    <t>Discounted Price</t>
  </si>
  <si>
    <t>Discount</t>
  </si>
  <si>
    <t>Sale amount</t>
  </si>
  <si>
    <t>Jan</t>
  </si>
  <si>
    <t>Feb</t>
  </si>
  <si>
    <t>Mar</t>
  </si>
  <si>
    <t>Jan Quantity</t>
  </si>
  <si>
    <t>Feb Q</t>
  </si>
  <si>
    <t>Mar Q</t>
  </si>
  <si>
    <t>Apr</t>
  </si>
  <si>
    <t>Tandra</t>
  </si>
  <si>
    <t>May</t>
  </si>
  <si>
    <t>Jun</t>
  </si>
  <si>
    <t>Jul</t>
  </si>
  <si>
    <t>Aug</t>
  </si>
  <si>
    <t>Mon</t>
  </si>
  <si>
    <t>Tue</t>
  </si>
  <si>
    <t>Wed</t>
  </si>
  <si>
    <t>Thu</t>
  </si>
  <si>
    <t>Fri</t>
  </si>
  <si>
    <t>Orange</t>
  </si>
  <si>
    <t>Apple</t>
  </si>
  <si>
    <t>Mango</t>
  </si>
  <si>
    <t>Grapes</t>
  </si>
  <si>
    <t>Rose</t>
  </si>
  <si>
    <t>Marigold</t>
  </si>
  <si>
    <t>Hibiscus</t>
  </si>
  <si>
    <t>Rohit</t>
  </si>
  <si>
    <t>Aditya</t>
  </si>
  <si>
    <t>Koushik</t>
  </si>
  <si>
    <t>Marks</t>
  </si>
  <si>
    <t>Result1</t>
  </si>
  <si>
    <t>Result2</t>
  </si>
  <si>
    <t>Result3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</si>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</sst>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10" fontId="0" fillId="2" borderId="1" xfId="1" applyNumberFormat="1" applyFont="1" applyFill="1" applyBorder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/>
    <xf numFmtId="0" fontId="0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/>
    <xf numFmtId="0" fontId="4" fillId="0" borderId="1" xfId="0" applyFont="1" applyBorder="1"/>
    <xf numFmtId="2" fontId="0" fillId="2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0DAA-EB8A-4B14-9182-EF9AC0DE3E8D}">
  <dimension ref="A3:P25"/>
  <sheetViews>
    <sheetView zoomScale="109" workbookViewId="0">
      <selection activeCell="J7" sqref="J7"/>
    </sheetView>
  </sheetViews>
  <sheetFormatPr defaultRowHeight="14.4" x14ac:dyDescent="0.3"/>
  <cols>
    <col min="6" max="6" width="10.44140625" bestFit="1" customWidth="1"/>
    <col min="8" max="8" width="9.5546875" bestFit="1" customWidth="1"/>
    <col min="10" max="10" width="19.44140625" customWidth="1"/>
    <col min="11" max="11" width="17.88671875" customWidth="1"/>
    <col min="14" max="14" width="11.6640625" bestFit="1" customWidth="1"/>
    <col min="15" max="15" width="17.6640625" customWidth="1"/>
    <col min="16" max="16" width="15.109375" bestFit="1" customWidth="1"/>
  </cols>
  <sheetData>
    <row r="3" spans="1:1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H3" s="4" t="s">
        <v>11</v>
      </c>
      <c r="I3" s="5">
        <v>300</v>
      </c>
      <c r="L3" s="7"/>
      <c r="M3" s="7"/>
      <c r="N3" s="7"/>
      <c r="O3" s="7"/>
    </row>
    <row r="4" spans="1:16" x14ac:dyDescent="0.3">
      <c r="A4" s="2" t="s">
        <v>6</v>
      </c>
      <c r="B4" s="2">
        <v>56</v>
      </c>
      <c r="C4" s="2">
        <v>78</v>
      </c>
      <c r="D4" s="2">
        <v>65</v>
      </c>
      <c r="E4" s="2">
        <f>SUM(B4:D4)</f>
        <v>199</v>
      </c>
      <c r="F4" s="6">
        <f>E4/$I$3</f>
        <v>0.66333333333333333</v>
      </c>
      <c r="N4" s="12" t="s">
        <v>23</v>
      </c>
      <c r="O4" s="12"/>
      <c r="P4" s="12"/>
    </row>
    <row r="5" spans="1:16" x14ac:dyDescent="0.3">
      <c r="A5" s="2" t="s">
        <v>7</v>
      </c>
      <c r="B5" s="2">
        <v>45</v>
      </c>
      <c r="C5" s="2">
        <v>78</v>
      </c>
      <c r="D5" s="2">
        <v>60</v>
      </c>
      <c r="E5" s="2">
        <f t="shared" ref="E5:E8" si="0">SUM(B5:D5)</f>
        <v>183</v>
      </c>
      <c r="F5" s="6">
        <f t="shared" ref="F5:F8" si="1">E5/$I$3</f>
        <v>0.61</v>
      </c>
      <c r="N5" s="13" t="s">
        <v>27</v>
      </c>
      <c r="O5" s="13" t="s">
        <v>28</v>
      </c>
      <c r="P5" s="13" t="s">
        <v>29</v>
      </c>
    </row>
    <row r="6" spans="1:16" ht="28.8" x14ac:dyDescent="0.3">
      <c r="A6" s="2" t="s">
        <v>8</v>
      </c>
      <c r="B6" s="2">
        <v>89</v>
      </c>
      <c r="C6" s="2">
        <v>59</v>
      </c>
      <c r="D6" s="2">
        <v>80</v>
      </c>
      <c r="E6" s="2">
        <f t="shared" si="0"/>
        <v>228</v>
      </c>
      <c r="F6" s="6">
        <f t="shared" si="1"/>
        <v>0.76</v>
      </c>
      <c r="L6" s="8" t="s">
        <v>12</v>
      </c>
      <c r="M6" s="8" t="s">
        <v>13</v>
      </c>
      <c r="N6" s="14">
        <v>2</v>
      </c>
      <c r="O6" s="15">
        <v>5</v>
      </c>
      <c r="P6" s="15">
        <v>3</v>
      </c>
    </row>
    <row r="7" spans="1:16" x14ac:dyDescent="0.3">
      <c r="A7" s="2" t="s">
        <v>9</v>
      </c>
      <c r="B7" s="2">
        <v>97</v>
      </c>
      <c r="C7" s="2">
        <v>78</v>
      </c>
      <c r="D7" s="2">
        <v>45</v>
      </c>
      <c r="E7" s="2">
        <f t="shared" si="0"/>
        <v>220</v>
      </c>
      <c r="F7" s="6">
        <f t="shared" si="1"/>
        <v>0.73333333333333328</v>
      </c>
      <c r="L7" s="9" t="s">
        <v>15</v>
      </c>
      <c r="M7" s="9">
        <v>50000</v>
      </c>
      <c r="N7" s="9"/>
      <c r="O7" s="1"/>
      <c r="P7" s="1"/>
    </row>
    <row r="8" spans="1:16" x14ac:dyDescent="0.3">
      <c r="A8" s="2" t="s">
        <v>10</v>
      </c>
      <c r="B8" s="2">
        <v>50</v>
      </c>
      <c r="C8" s="2">
        <v>83</v>
      </c>
      <c r="D8" s="2">
        <v>57</v>
      </c>
      <c r="E8" s="2">
        <f t="shared" si="0"/>
        <v>190</v>
      </c>
      <c r="F8" s="6">
        <f t="shared" si="1"/>
        <v>0.6333333333333333</v>
      </c>
      <c r="L8" s="9" t="s">
        <v>16</v>
      </c>
      <c r="M8" s="9">
        <v>500</v>
      </c>
      <c r="N8" s="9"/>
      <c r="O8" s="1"/>
      <c r="P8" s="1"/>
    </row>
    <row r="9" spans="1:16" x14ac:dyDescent="0.3">
      <c r="L9" s="9" t="s">
        <v>17</v>
      </c>
      <c r="M9" s="9">
        <v>1500</v>
      </c>
      <c r="N9" s="9"/>
      <c r="O9" s="1"/>
      <c r="P9" s="1"/>
    </row>
    <row r="10" spans="1:16" x14ac:dyDescent="0.3">
      <c r="J10" s="1" t="s">
        <v>22</v>
      </c>
      <c r="K10" s="10">
        <v>0.05</v>
      </c>
      <c r="L10" s="9" t="s">
        <v>18</v>
      </c>
      <c r="M10" s="9">
        <v>12000</v>
      </c>
      <c r="N10" s="9"/>
      <c r="O10" s="1"/>
      <c r="P10" s="1"/>
    </row>
    <row r="11" spans="1:16" x14ac:dyDescent="0.3">
      <c r="L11" s="9" t="s">
        <v>19</v>
      </c>
      <c r="M11" s="9">
        <v>8000</v>
      </c>
      <c r="N11" s="9"/>
      <c r="O11" s="1"/>
      <c r="P11" s="1"/>
    </row>
    <row r="12" spans="1:16" ht="28.8" x14ac:dyDescent="0.3">
      <c r="A12" s="1"/>
      <c r="B12" s="5">
        <v>10</v>
      </c>
      <c r="C12" s="5">
        <v>20</v>
      </c>
      <c r="D12" s="5">
        <v>30</v>
      </c>
      <c r="E12" s="5">
        <v>40</v>
      </c>
      <c r="G12" s="8" t="s">
        <v>12</v>
      </c>
      <c r="H12" s="8" t="s">
        <v>13</v>
      </c>
      <c r="I12" s="8" t="s">
        <v>14</v>
      </c>
      <c r="J12" s="8" t="s">
        <v>20</v>
      </c>
      <c r="K12" s="5" t="s">
        <v>21</v>
      </c>
    </row>
    <row r="13" spans="1:16" x14ac:dyDescent="0.3">
      <c r="A13" s="5">
        <v>2</v>
      </c>
      <c r="B13" s="1">
        <f>$A13*B$12</f>
        <v>20</v>
      </c>
      <c r="C13" s="1">
        <f t="shared" ref="C13:E13" si="2">$A13*C$12</f>
        <v>40</v>
      </c>
      <c r="D13" s="1">
        <f t="shared" si="2"/>
        <v>60</v>
      </c>
      <c r="E13" s="1">
        <f t="shared" si="2"/>
        <v>80</v>
      </c>
      <c r="G13" s="9" t="s">
        <v>15</v>
      </c>
      <c r="H13" s="9">
        <v>50000</v>
      </c>
      <c r="I13" s="9">
        <v>2</v>
      </c>
      <c r="J13" s="11">
        <f>H13*I13</f>
        <v>100000</v>
      </c>
      <c r="K13" s="1">
        <f>J13-J13*$K$10</f>
        <v>95000</v>
      </c>
    </row>
    <row r="14" spans="1:16" x14ac:dyDescent="0.3">
      <c r="A14" s="5">
        <v>3</v>
      </c>
      <c r="B14" s="1">
        <f t="shared" ref="B14:E17" si="3">$A14*B$12</f>
        <v>30</v>
      </c>
      <c r="C14" s="1">
        <f t="shared" si="3"/>
        <v>60</v>
      </c>
      <c r="D14" s="1">
        <f t="shared" si="3"/>
        <v>90</v>
      </c>
      <c r="E14" s="1">
        <f t="shared" si="3"/>
        <v>120</v>
      </c>
      <c r="G14" s="9" t="s">
        <v>16</v>
      </c>
      <c r="H14" s="9">
        <v>500</v>
      </c>
      <c r="I14" s="9">
        <v>5</v>
      </c>
      <c r="J14" s="11">
        <f t="shared" ref="J14:J17" si="4">H14*I14</f>
        <v>2500</v>
      </c>
      <c r="K14" s="1">
        <f t="shared" ref="K14:K17" si="5">J14-J14*$K$10</f>
        <v>2375</v>
      </c>
    </row>
    <row r="15" spans="1:16" x14ac:dyDescent="0.3">
      <c r="A15" s="5">
        <v>4</v>
      </c>
      <c r="B15" s="1">
        <f t="shared" si="3"/>
        <v>40</v>
      </c>
      <c r="C15" s="1">
        <f t="shared" si="3"/>
        <v>80</v>
      </c>
      <c r="D15" s="1">
        <f t="shared" si="3"/>
        <v>120</v>
      </c>
      <c r="E15" s="1">
        <f t="shared" si="3"/>
        <v>160</v>
      </c>
      <c r="G15" s="9" t="s">
        <v>17</v>
      </c>
      <c r="H15" s="9">
        <v>1500</v>
      </c>
      <c r="I15" s="9">
        <v>3</v>
      </c>
      <c r="J15" s="11">
        <f t="shared" si="4"/>
        <v>4500</v>
      </c>
      <c r="K15" s="1">
        <f t="shared" si="5"/>
        <v>4275</v>
      </c>
    </row>
    <row r="16" spans="1:16" x14ac:dyDescent="0.3">
      <c r="A16" s="5">
        <v>5</v>
      </c>
      <c r="B16" s="1">
        <f t="shared" si="3"/>
        <v>50</v>
      </c>
      <c r="C16" s="1">
        <f t="shared" si="3"/>
        <v>100</v>
      </c>
      <c r="D16" s="1">
        <f t="shared" si="3"/>
        <v>150</v>
      </c>
      <c r="E16" s="1">
        <f t="shared" si="3"/>
        <v>200</v>
      </c>
      <c r="G16" s="9" t="s">
        <v>18</v>
      </c>
      <c r="H16" s="9">
        <v>12000</v>
      </c>
      <c r="I16" s="9">
        <v>1</v>
      </c>
      <c r="J16" s="11">
        <f t="shared" si="4"/>
        <v>12000</v>
      </c>
      <c r="K16" s="1">
        <f t="shared" si="5"/>
        <v>11400</v>
      </c>
    </row>
    <row r="17" spans="1:12" x14ac:dyDescent="0.3">
      <c r="A17" s="5">
        <v>6</v>
      </c>
      <c r="B17" s="1">
        <f t="shared" si="3"/>
        <v>60</v>
      </c>
      <c r="C17" s="1">
        <f t="shared" si="3"/>
        <v>120</v>
      </c>
      <c r="D17" s="1">
        <f t="shared" si="3"/>
        <v>180</v>
      </c>
      <c r="E17" s="1">
        <f t="shared" si="3"/>
        <v>240</v>
      </c>
      <c r="G17" s="9" t="s">
        <v>19</v>
      </c>
      <c r="H17" s="9">
        <v>8000</v>
      </c>
      <c r="I17" s="9">
        <v>2</v>
      </c>
      <c r="J17" s="11">
        <f t="shared" si="4"/>
        <v>16000</v>
      </c>
      <c r="K17" s="1">
        <f t="shared" si="5"/>
        <v>15200</v>
      </c>
    </row>
    <row r="20" spans="1:12" ht="28.8" x14ac:dyDescent="0.3">
      <c r="B20" s="16" t="s">
        <v>12</v>
      </c>
      <c r="C20" s="16" t="s">
        <v>13</v>
      </c>
      <c r="D20" s="16" t="s">
        <v>14</v>
      </c>
      <c r="F20" s="16" t="s">
        <v>12</v>
      </c>
      <c r="G20" s="16" t="s">
        <v>13</v>
      </c>
      <c r="H20" s="16" t="s">
        <v>14</v>
      </c>
      <c r="J20" t="s">
        <v>12</v>
      </c>
      <c r="K20" t="s">
        <v>13</v>
      </c>
      <c r="L20" t="s">
        <v>14</v>
      </c>
    </row>
    <row r="21" spans="1:12" x14ac:dyDescent="0.3">
      <c r="B21" s="17" t="s">
        <v>15</v>
      </c>
      <c r="C21" s="17">
        <v>50000</v>
      </c>
      <c r="D21" s="17">
        <v>2</v>
      </c>
      <c r="F21" s="17" t="s">
        <v>15</v>
      </c>
      <c r="G21" s="17">
        <v>50000</v>
      </c>
      <c r="H21" s="17">
        <v>2</v>
      </c>
      <c r="J21" t="s">
        <v>15</v>
      </c>
      <c r="K21">
        <v>50000</v>
      </c>
      <c r="L21">
        <v>2</v>
      </c>
    </row>
    <row r="22" spans="1:12" x14ac:dyDescent="0.3">
      <c r="B22" s="17" t="s">
        <v>16</v>
      </c>
      <c r="C22" s="17">
        <v>500</v>
      </c>
      <c r="D22" s="17">
        <v>5</v>
      </c>
      <c r="F22" s="17" t="s">
        <v>16</v>
      </c>
      <c r="G22" s="17">
        <v>500</v>
      </c>
      <c r="H22" s="17">
        <v>5</v>
      </c>
      <c r="J22" t="s">
        <v>16</v>
      </c>
      <c r="K22">
        <v>500</v>
      </c>
      <c r="L22">
        <v>5</v>
      </c>
    </row>
    <row r="23" spans="1:12" x14ac:dyDescent="0.3">
      <c r="B23" s="17" t="s">
        <v>17</v>
      </c>
      <c r="C23" s="17">
        <v>1500</v>
      </c>
      <c r="D23" s="17">
        <v>3</v>
      </c>
      <c r="F23" s="17" t="s">
        <v>17</v>
      </c>
      <c r="G23" s="17">
        <v>1500</v>
      </c>
      <c r="H23" s="17">
        <v>3</v>
      </c>
      <c r="J23" t="s">
        <v>17</v>
      </c>
      <c r="K23">
        <v>1500</v>
      </c>
      <c r="L23">
        <v>3</v>
      </c>
    </row>
    <row r="24" spans="1:12" x14ac:dyDescent="0.3">
      <c r="B24" s="17" t="s">
        <v>18</v>
      </c>
      <c r="C24" s="17">
        <v>12000</v>
      </c>
      <c r="D24" s="17">
        <v>1</v>
      </c>
      <c r="F24" s="17" t="s">
        <v>18</v>
      </c>
      <c r="G24" s="17">
        <v>12000</v>
      </c>
      <c r="H24" s="17">
        <v>1</v>
      </c>
      <c r="J24" t="s">
        <v>18</v>
      </c>
      <c r="K24">
        <v>12000</v>
      </c>
      <c r="L24">
        <v>1</v>
      </c>
    </row>
    <row r="25" spans="1:12" x14ac:dyDescent="0.3">
      <c r="B25" s="17" t="s">
        <v>19</v>
      </c>
      <c r="C25" s="17">
        <v>8000</v>
      </c>
      <c r="D25" s="17">
        <v>2</v>
      </c>
      <c r="F25" s="17" t="s">
        <v>19</v>
      </c>
      <c r="G25" s="17">
        <v>8000</v>
      </c>
      <c r="H25" s="17">
        <v>2</v>
      </c>
      <c r="J25" t="s">
        <v>19</v>
      </c>
      <c r="K25">
        <v>8000</v>
      </c>
      <c r="L25">
        <v>2</v>
      </c>
    </row>
  </sheetData>
  <mergeCells count="1">
    <mergeCell ref="N4:P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E290-E2DB-4256-81A1-3A75621F7CA3}">
  <dimension ref="C2:R27"/>
  <sheetViews>
    <sheetView topLeftCell="A3" workbookViewId="0">
      <selection activeCell="F28" sqref="F28"/>
    </sheetView>
  </sheetViews>
  <sheetFormatPr defaultRowHeight="14.4" x14ac:dyDescent="0.3"/>
  <sheetData>
    <row r="2" spans="3:18" x14ac:dyDescent="0.3">
      <c r="C2" s="18" t="s">
        <v>24</v>
      </c>
      <c r="D2" s="18" t="s">
        <v>24</v>
      </c>
      <c r="E2" s="18" t="s">
        <v>36</v>
      </c>
      <c r="F2" s="18" t="s">
        <v>36</v>
      </c>
      <c r="I2">
        <v>10</v>
      </c>
    </row>
    <row r="3" spans="3:18" x14ac:dyDescent="0.3">
      <c r="C3" s="18" t="s">
        <v>25</v>
      </c>
      <c r="D3" t="s">
        <v>25</v>
      </c>
      <c r="E3" s="18" t="s">
        <v>37</v>
      </c>
      <c r="I3">
        <v>20</v>
      </c>
    </row>
    <row r="4" spans="3:18" x14ac:dyDescent="0.3">
      <c r="C4" s="18" t="s">
        <v>26</v>
      </c>
      <c r="D4" t="s">
        <v>26</v>
      </c>
      <c r="E4" s="18" t="s">
        <v>38</v>
      </c>
      <c r="I4">
        <v>30</v>
      </c>
    </row>
    <row r="5" spans="3:18" x14ac:dyDescent="0.3">
      <c r="C5" s="18" t="s">
        <v>30</v>
      </c>
      <c r="D5" t="s">
        <v>30</v>
      </c>
      <c r="E5" s="18" t="s">
        <v>39</v>
      </c>
      <c r="I5">
        <v>40</v>
      </c>
      <c r="L5" t="s">
        <v>41</v>
      </c>
      <c r="O5" t="s">
        <v>45</v>
      </c>
      <c r="R5" t="s">
        <v>48</v>
      </c>
    </row>
    <row r="6" spans="3:18" x14ac:dyDescent="0.3">
      <c r="C6" s="18" t="s">
        <v>32</v>
      </c>
      <c r="D6" t="s">
        <v>32</v>
      </c>
      <c r="E6" s="18" t="s">
        <v>40</v>
      </c>
      <c r="I6">
        <v>50</v>
      </c>
      <c r="L6" t="s">
        <v>42</v>
      </c>
      <c r="O6" t="s">
        <v>46</v>
      </c>
      <c r="R6" t="s">
        <v>49</v>
      </c>
    </row>
    <row r="7" spans="3:18" x14ac:dyDescent="0.3">
      <c r="C7" s="18" t="s">
        <v>33</v>
      </c>
      <c r="D7" t="s">
        <v>33</v>
      </c>
      <c r="E7" s="18" t="s">
        <v>36</v>
      </c>
      <c r="I7">
        <v>60</v>
      </c>
      <c r="L7" t="s">
        <v>43</v>
      </c>
      <c r="O7" t="s">
        <v>47</v>
      </c>
      <c r="R7" t="s">
        <v>50</v>
      </c>
    </row>
    <row r="8" spans="3:18" x14ac:dyDescent="0.3">
      <c r="C8" s="18" t="s">
        <v>34</v>
      </c>
      <c r="D8" t="s">
        <v>34</v>
      </c>
      <c r="E8" s="18" t="s">
        <v>37</v>
      </c>
      <c r="I8">
        <v>70</v>
      </c>
      <c r="L8" t="s">
        <v>44</v>
      </c>
      <c r="R8" t="s">
        <v>31</v>
      </c>
    </row>
    <row r="9" spans="3:18" x14ac:dyDescent="0.3">
      <c r="C9" s="18" t="s">
        <v>35</v>
      </c>
      <c r="D9" t="s">
        <v>35</v>
      </c>
      <c r="E9" s="18" t="s">
        <v>38</v>
      </c>
      <c r="I9">
        <v>80</v>
      </c>
      <c r="L9" t="s">
        <v>41</v>
      </c>
      <c r="R9" t="s">
        <v>48</v>
      </c>
    </row>
    <row r="10" spans="3:18" x14ac:dyDescent="0.3">
      <c r="I10">
        <v>90</v>
      </c>
      <c r="L10" t="s">
        <v>42</v>
      </c>
      <c r="O10" t="s">
        <v>31</v>
      </c>
      <c r="R10" t="s">
        <v>49</v>
      </c>
    </row>
    <row r="11" spans="3:18" x14ac:dyDescent="0.3">
      <c r="I11">
        <v>100</v>
      </c>
      <c r="M11" t="s">
        <v>45</v>
      </c>
      <c r="O11" t="s">
        <v>48</v>
      </c>
      <c r="R11" t="s">
        <v>50</v>
      </c>
    </row>
    <row r="12" spans="3:18" x14ac:dyDescent="0.3">
      <c r="I12">
        <v>110</v>
      </c>
      <c r="M12" t="s">
        <v>46</v>
      </c>
      <c r="O12" t="s">
        <v>49</v>
      </c>
      <c r="R12" t="s">
        <v>31</v>
      </c>
    </row>
    <row r="13" spans="3:18" x14ac:dyDescent="0.3">
      <c r="I13">
        <v>120</v>
      </c>
      <c r="M13" t="s">
        <v>47</v>
      </c>
      <c r="O13" t="s">
        <v>50</v>
      </c>
    </row>
    <row r="14" spans="3:18" x14ac:dyDescent="0.3">
      <c r="I14">
        <v>130</v>
      </c>
      <c r="M14" t="s">
        <v>45</v>
      </c>
    </row>
    <row r="15" spans="3:18" x14ac:dyDescent="0.3">
      <c r="I15">
        <v>140</v>
      </c>
      <c r="M15" t="s">
        <v>46</v>
      </c>
    </row>
    <row r="16" spans="3:18" x14ac:dyDescent="0.3">
      <c r="I16">
        <v>150</v>
      </c>
    </row>
    <row r="17" spans="3:9" x14ac:dyDescent="0.3">
      <c r="I17">
        <v>160</v>
      </c>
    </row>
    <row r="21" spans="3:9" ht="25.8" x14ac:dyDescent="0.5">
      <c r="C21" s="19">
        <v>45</v>
      </c>
      <c r="D21" s="19">
        <v>89</v>
      </c>
    </row>
    <row r="22" spans="3:9" x14ac:dyDescent="0.3">
      <c r="F22" t="b">
        <f>C21=D21</f>
        <v>0</v>
      </c>
    </row>
    <row r="23" spans="3:9" x14ac:dyDescent="0.3">
      <c r="F23" t="b">
        <f>C21&lt;&gt;D21</f>
        <v>1</v>
      </c>
    </row>
    <row r="24" spans="3:9" x14ac:dyDescent="0.3">
      <c r="F24" t="b">
        <f>C21&lt;D21</f>
        <v>1</v>
      </c>
    </row>
    <row r="25" spans="3:9" x14ac:dyDescent="0.3">
      <c r="F25" t="b">
        <f>C21&gt;D21</f>
        <v>0</v>
      </c>
    </row>
    <row r="26" spans="3:9" x14ac:dyDescent="0.3">
      <c r="F26" t="b">
        <f>C21&lt;=D21</f>
        <v>1</v>
      </c>
    </row>
    <row r="27" spans="3:9" x14ac:dyDescent="0.3">
      <c r="F27" t="b">
        <f>C21&gt;=D21</f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3B04-B069-4293-8300-3CCA26BCC089}">
  <dimension ref="A1:G14"/>
  <sheetViews>
    <sheetView tabSelected="1" zoomScale="140" zoomScaleNormal="140" workbookViewId="0">
      <selection activeCell="D15" sqref="D15"/>
    </sheetView>
  </sheetViews>
  <sheetFormatPr defaultRowHeight="14.4" x14ac:dyDescent="0.3"/>
  <cols>
    <col min="3" max="3" width="10.44140625" bestFit="1" customWidth="1"/>
    <col min="4" max="4" width="19.77734375" bestFit="1" customWidth="1"/>
    <col min="5" max="5" width="21.77734375" bestFit="1" customWidth="1"/>
    <col min="6" max="6" width="10.5546875" bestFit="1" customWidth="1"/>
  </cols>
  <sheetData>
    <row r="1" spans="1:7" x14ac:dyDescent="0.3">
      <c r="A1" s="3" t="s">
        <v>0</v>
      </c>
      <c r="B1" s="3" t="s">
        <v>51</v>
      </c>
      <c r="C1" s="3" t="s">
        <v>52</v>
      </c>
      <c r="D1" s="3" t="s">
        <v>53</v>
      </c>
      <c r="E1" s="3" t="s">
        <v>54</v>
      </c>
    </row>
    <row r="2" spans="1:7" x14ac:dyDescent="0.3">
      <c r="A2" s="2" t="s">
        <v>6</v>
      </c>
      <c r="B2" s="2">
        <v>56</v>
      </c>
      <c r="C2" s="2" t="str">
        <f>IF(B2&gt;50,"Pass","Fail")</f>
        <v>Pass</v>
      </c>
      <c r="D2" s="2" t="str">
        <f>IF(B2&gt;60,"A Grade",IF(B2&gt;=50,"Pass","Fail"))</f>
        <v>Pass</v>
      </c>
      <c r="E2" s="2" t="str" cm="1">
        <f t="array" ref="E2">_xlfn.IFS(B2&gt;60,"A Grade",B2&gt;=50,"Pass",B2&lt;50,"Fail")</f>
        <v>Pass</v>
      </c>
    </row>
    <row r="3" spans="1:7" x14ac:dyDescent="0.3">
      <c r="A3" s="2" t="s">
        <v>7</v>
      </c>
      <c r="B3" s="2">
        <v>45</v>
      </c>
      <c r="C3" s="2" t="str">
        <f t="shared" ref="C3:C6" si="0">IF(B3&gt;50,"Pass","Fail")</f>
        <v>Fail</v>
      </c>
      <c r="D3" s="2" t="str">
        <f t="shared" ref="D3:D6" si="1">IF(B3&gt;60,"A Grade",IF(B3&gt;=50,"Pass","Fail"))</f>
        <v>Fail</v>
      </c>
      <c r="E3" s="2" t="str" cm="1">
        <f t="array" ref="E3">_xlfn.IFS(B3&gt;60,"A Grade",B3&gt;=50,"Pass",B3&lt;50,"Fail")</f>
        <v>Fail</v>
      </c>
    </row>
    <row r="4" spans="1:7" x14ac:dyDescent="0.3">
      <c r="A4" s="2" t="s">
        <v>8</v>
      </c>
      <c r="B4" s="2">
        <v>89</v>
      </c>
      <c r="C4" s="2" t="str">
        <f t="shared" si="0"/>
        <v>Pass</v>
      </c>
      <c r="D4" s="2" t="str">
        <f t="shared" si="1"/>
        <v>A Grade</v>
      </c>
      <c r="E4" s="2" t="str" cm="1">
        <f t="array" ref="E4">_xlfn.IFS(B4&gt;60,"A Grade",B4&gt;=50,"Pass",B4&lt;50,"Fail")</f>
        <v>A Grade</v>
      </c>
    </row>
    <row r="5" spans="1:7" x14ac:dyDescent="0.3">
      <c r="A5" s="2" t="s">
        <v>9</v>
      </c>
      <c r="B5" s="2">
        <v>97</v>
      </c>
      <c r="C5" s="2" t="str">
        <f t="shared" si="0"/>
        <v>Pass</v>
      </c>
      <c r="D5" s="2" t="str">
        <f t="shared" si="1"/>
        <v>A Grade</v>
      </c>
      <c r="E5" s="2" t="str" cm="1">
        <f t="array" ref="E5">_xlfn.IFS(B5&gt;60,"A Grade",B5&gt;=50,"Pass",B5&lt;50,"Fail")</f>
        <v>A Grade</v>
      </c>
    </row>
    <row r="6" spans="1:7" x14ac:dyDescent="0.3">
      <c r="A6" s="2" t="s">
        <v>10</v>
      </c>
      <c r="B6" s="2">
        <v>50</v>
      </c>
      <c r="C6" s="2" t="str">
        <f t="shared" si="0"/>
        <v>Fail</v>
      </c>
      <c r="D6" s="2" t="str">
        <f t="shared" si="1"/>
        <v>Pass</v>
      </c>
      <c r="E6" s="2" t="str" cm="1">
        <f t="array" ref="E6">_xlfn.IFS(B6&gt;60,"A Grade",B6&gt;=50,"Pass",B6&lt;50,"Fail")</f>
        <v>Pass</v>
      </c>
    </row>
    <row r="9" spans="1:7" x14ac:dyDescent="0.3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55</v>
      </c>
    </row>
    <row r="10" spans="1:7" x14ac:dyDescent="0.3">
      <c r="A10" s="2" t="s">
        <v>6</v>
      </c>
      <c r="B10" s="2">
        <v>50</v>
      </c>
      <c r="C10" s="2">
        <v>45</v>
      </c>
      <c r="D10" s="2">
        <v>49</v>
      </c>
      <c r="E10" s="2">
        <f>SUM(B10:D10)</f>
        <v>144</v>
      </c>
      <c r="F10" s="20">
        <f>E10/300*100</f>
        <v>48</v>
      </c>
      <c r="G10" s="2" t="str">
        <f>IF(F10&gt;=90,"A",IF(AND(F10&gt;=70,F10&lt;90),"B",IF(AND(F10&gt;=50,F10&lt;70),"C","Fail")))</f>
        <v>Fail</v>
      </c>
    </row>
    <row r="11" spans="1:7" x14ac:dyDescent="0.3">
      <c r="A11" s="2" t="s">
        <v>7</v>
      </c>
      <c r="B11" s="2">
        <v>45</v>
      </c>
      <c r="C11" s="2">
        <v>78</v>
      </c>
      <c r="D11" s="2">
        <v>60</v>
      </c>
      <c r="E11" s="2">
        <f t="shared" ref="E11:E14" si="2">SUM(B11:D11)</f>
        <v>183</v>
      </c>
      <c r="F11" s="20">
        <f t="shared" ref="F11:F14" si="3">E11/300*100</f>
        <v>61</v>
      </c>
      <c r="G11" s="2" t="str">
        <f t="shared" ref="G11:G14" si="4">IF(F11&gt;=90,"A",IF(AND(F11&gt;=70,F11&lt;90),"B",IF(AND(F11&gt;=50,F11&lt;70),"C","Fail")))</f>
        <v>C</v>
      </c>
    </row>
    <row r="12" spans="1:7" x14ac:dyDescent="0.3">
      <c r="A12" s="2" t="s">
        <v>8</v>
      </c>
      <c r="B12" s="2">
        <v>89</v>
      </c>
      <c r="C12" s="2">
        <v>82</v>
      </c>
      <c r="D12" s="2">
        <v>80</v>
      </c>
      <c r="E12" s="2">
        <f t="shared" si="2"/>
        <v>251</v>
      </c>
      <c r="F12" s="20">
        <f t="shared" si="3"/>
        <v>83.666666666666671</v>
      </c>
      <c r="G12" s="2" t="str">
        <f t="shared" si="4"/>
        <v>B</v>
      </c>
    </row>
    <row r="13" spans="1:7" x14ac:dyDescent="0.3">
      <c r="A13" s="2" t="s">
        <v>9</v>
      </c>
      <c r="B13" s="2">
        <v>97</v>
      </c>
      <c r="C13" s="2">
        <v>78</v>
      </c>
      <c r="D13" s="2">
        <v>98</v>
      </c>
      <c r="E13" s="2">
        <f t="shared" si="2"/>
        <v>273</v>
      </c>
      <c r="F13" s="20">
        <f t="shared" si="3"/>
        <v>91</v>
      </c>
      <c r="G13" s="2" t="str">
        <f t="shared" si="4"/>
        <v>A</v>
      </c>
    </row>
    <row r="14" spans="1:7" x14ac:dyDescent="0.3">
      <c r="A14" s="2" t="s">
        <v>10</v>
      </c>
      <c r="B14" s="2">
        <v>50</v>
      </c>
      <c r="C14" s="2">
        <v>83</v>
      </c>
      <c r="D14" s="2">
        <v>57</v>
      </c>
      <c r="E14" s="2">
        <f t="shared" si="2"/>
        <v>190</v>
      </c>
      <c r="F14" s="20">
        <f t="shared" si="3"/>
        <v>63.333333333333329</v>
      </c>
      <c r="G14" s="2" t="str">
        <f t="shared" si="4"/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Tandra Paul</cp:lastModifiedBy>
  <dcterms:created xsi:type="dcterms:W3CDTF">2026-01-07T09:06:29Z</dcterms:created>
  <dcterms:modified xsi:type="dcterms:W3CDTF">2026-01-07T11:39:05Z</dcterms:modified>
</cp:coreProperties>
</file>