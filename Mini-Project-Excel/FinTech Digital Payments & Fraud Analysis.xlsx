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Anudip\Mini Project\"/>
    </mc:Choice>
  </mc:AlternateContent>
  <xr:revisionPtr revIDLastSave="0" documentId="13_ncr:1_{DEB7C93D-B9E8-49A2-90DF-7385919C6D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ssy_Data" sheetId="1" r:id="rId1"/>
    <sheet name="Clean_Data" sheetId="2" r:id="rId2"/>
    <sheet name="Tables" sheetId="4" r:id="rId3"/>
    <sheet name="Analysis" sheetId="3" r:id="rId4"/>
  </sheets>
  <definedNames>
    <definedName name="_xlnm._FilterDatabase" localSheetId="2" hidden="1">Tables!#REF!</definedName>
    <definedName name="_xlcn.WorksheetConnection_FinTechDigitalPaymentsFraudAnalysis.xlsxTable131" hidden="1">Table13[]</definedName>
    <definedName name="_xlcn.WorksheetConnection_FinTechDigitalPaymentsFraudAnalysis.xlsxTable31" hidden="1">Table3[]</definedName>
    <definedName name="_xlcn.WorksheetConnection_FinTechDigitalPaymentsFraudAnalysis.xlsxTable61" hidden="1">Table6[]</definedName>
  </definedNames>
  <calcPr calcId="191029"/>
  <pivotCaches>
    <pivotCache cacheId="77" r:id="rId5"/>
    <pivotCache cacheId="95" r:id="rId6"/>
    <pivotCache cacheId="100" r:id="rId7"/>
  </pivotCaches>
  <extLst>
    <ext xmlns:x15="http://schemas.microsoft.com/office/spreadsheetml/2010/11/main" uri="{FCE2AD5D-F65C-4FA6-A056-5C36A1767C68}">
      <x15:dataModel>
        <x15:modelTables>
          <x15:modelTable id="Table3" name="Table3" connection="WorksheetConnection_FinTech Digital Payments &amp; Fraud Analysis.xlsx!Table3"/>
          <x15:modelTable id="Table6" name="Table6" connection="WorksheetConnection_FinTech Digital Payments &amp; Fraud Analysis.xlsx!Table6"/>
          <x15:modelTable id="Table13" name="Table13" connection="WorksheetConnection_FinTech Digital Payments &amp; Fraud Analysis.xlsx!Table13"/>
        </x15:modelTables>
        <x15:modelRelationships>
          <x15:modelRelationship fromTable="Table3" fromColumn="Transaction_ID" toTable="Table6" toColumn="Transaction_ID"/>
        </x15:modelRelationships>
      </x15:dataModel>
    </ext>
  </extLst>
</workbook>
</file>

<file path=xl/calcChain.xml><?xml version="1.0" encoding="utf-8"?>
<calcChain xmlns="http://schemas.openxmlformats.org/spreadsheetml/2006/main">
  <c r="R25" i="4" l="1"/>
  <c r="Q20" i="4"/>
  <c r="Q15" i="4"/>
  <c r="Q10" i="4"/>
  <c r="Q5" i="4"/>
  <c r="U2" i="2" l="1"/>
  <c r="U3" i="2"/>
  <c r="U4" i="2"/>
  <c r="U5" i="2"/>
  <c r="U6" i="2"/>
  <c r="U7" i="2"/>
  <c r="U8" i="2"/>
  <c r="U9" i="2"/>
  <c r="U10" i="2"/>
  <c r="U11" i="2"/>
  <c r="R30" i="4" s="1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218AD-291A-492E-95D9-947B49B9A3E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87AD8AB-31D8-4B7B-AD8B-4481AEE4792C}" name="WorksheetConnection_FinTech Digital Payments &amp; Fraud Analysis.xlsx!Table13" type="102" refreshedVersion="8" minRefreshableVersion="5">
    <extLst>
      <ext xmlns:x15="http://schemas.microsoft.com/office/spreadsheetml/2010/11/main" uri="{DE250136-89BD-433C-8126-D09CA5730AF9}">
        <x15:connection id="Table13">
          <x15:rangePr sourceName="_xlcn.WorksheetConnection_FinTechDigitalPaymentsFraudAnalysis.xlsxTable131"/>
        </x15:connection>
      </ext>
    </extLst>
  </connection>
  <connection id="3" xr16:uid="{160942A2-EFFD-4A5B-8D08-D14702EF450F}" name="WorksheetConnection_FinTech Digital Payments &amp; Fraud Analysis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FinTechDigitalPaymentsFraudAnalysis.xlsxTable31"/>
        </x15:connection>
      </ext>
    </extLst>
  </connection>
  <connection id="4" xr16:uid="{C4AD78F6-1339-4727-8138-AE92D0C42487}" name="WorksheetConnection_FinTech Digital Payments &amp; Fraud Analysis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FinTechDigitalPaymentsFraudAnalysis.xlsxTable61"/>
        </x15:connection>
      </ext>
    </extLst>
  </connection>
</connections>
</file>

<file path=xl/sharedStrings.xml><?xml version="1.0" encoding="utf-8"?>
<sst xmlns="http://schemas.openxmlformats.org/spreadsheetml/2006/main" count="13377" uniqueCount="1778">
  <si>
    <t>Transaction_ID</t>
  </si>
  <si>
    <t>User_ID</t>
  </si>
  <si>
    <t>Payment_Mode</t>
  </si>
  <si>
    <t>Amount</t>
  </si>
  <si>
    <t>Transaction_Date</t>
  </si>
  <si>
    <t>Transaction_Time</t>
  </si>
  <si>
    <t>City</t>
  </si>
  <si>
    <t>Device_Type</t>
  </si>
  <si>
    <t>User_Segment</t>
  </si>
  <si>
    <t>Fraud_Flag</t>
  </si>
  <si>
    <t>Merchant_ID</t>
  </si>
  <si>
    <t>Merchant_Category</t>
  </si>
  <si>
    <t>Revenue</t>
  </si>
  <si>
    <t>Loss</t>
  </si>
  <si>
    <t>Transaction_Status</t>
  </si>
  <si>
    <t>Retry_Count</t>
  </si>
  <si>
    <t>Browser_Type</t>
  </si>
  <si>
    <t>IP_Country</t>
  </si>
  <si>
    <t>Amount_Deviation</t>
  </si>
  <si>
    <t>Risk_Score</t>
  </si>
  <si>
    <t>TXN000375</t>
  </si>
  <si>
    <t>USR00147</t>
  </si>
  <si>
    <t>NetBanking</t>
  </si>
  <si>
    <t>10:56:20</t>
  </si>
  <si>
    <t>Delhi</t>
  </si>
  <si>
    <t>Web</t>
  </si>
  <si>
    <t>Premium</t>
  </si>
  <si>
    <t>no</t>
  </si>
  <si>
    <t>MCH4977</t>
  </si>
  <si>
    <t>Entertainment</t>
  </si>
  <si>
    <t xml:space="preserve">failed </t>
  </si>
  <si>
    <t>Chrome</t>
  </si>
  <si>
    <t>IN</t>
  </si>
  <si>
    <t>TXN000500</t>
  </si>
  <si>
    <t>USR00086</t>
  </si>
  <si>
    <t>Card</t>
  </si>
  <si>
    <t>13:29:40</t>
  </si>
  <si>
    <t>Chennai</t>
  </si>
  <si>
    <t>Android</t>
  </si>
  <si>
    <t>regular</t>
  </si>
  <si>
    <t>YES</t>
  </si>
  <si>
    <t>MCH2466</t>
  </si>
  <si>
    <t>Travel</t>
  </si>
  <si>
    <t>Failed</t>
  </si>
  <si>
    <t>Safari</t>
  </si>
  <si>
    <t>US</t>
  </si>
  <si>
    <t>TXN000070</t>
  </si>
  <si>
    <t>USR00009</t>
  </si>
  <si>
    <t>UPI</t>
  </si>
  <si>
    <t>00:48:31</t>
  </si>
  <si>
    <t>Ahmedabad</t>
  </si>
  <si>
    <t>New</t>
  </si>
  <si>
    <t>MCH1268</t>
  </si>
  <si>
    <t>Health</t>
  </si>
  <si>
    <t>Pending</t>
  </si>
  <si>
    <t>Edge</t>
  </si>
  <si>
    <t>TXN000129</t>
  </si>
  <si>
    <t>USR00045</t>
  </si>
  <si>
    <t>09:53:38</t>
  </si>
  <si>
    <t>Bhātpāra</t>
  </si>
  <si>
    <t>No</t>
  </si>
  <si>
    <t>MCH6316</t>
  </si>
  <si>
    <t>Success</t>
  </si>
  <si>
    <t>Unknown</t>
  </si>
  <si>
    <t>uk</t>
  </si>
  <si>
    <t>TXN000416</t>
  </si>
  <si>
    <t>USR00148</t>
  </si>
  <si>
    <t>11:32:41</t>
  </si>
  <si>
    <t>Pune</t>
  </si>
  <si>
    <t xml:space="preserve"> iOS</t>
  </si>
  <si>
    <t>MCH3253</t>
  </si>
  <si>
    <t>TXN000463</t>
  </si>
  <si>
    <t>USR00046</t>
  </si>
  <si>
    <t>14:26:34</t>
  </si>
  <si>
    <t>web</t>
  </si>
  <si>
    <t xml:space="preserve">Premium </t>
  </si>
  <si>
    <t>MCH8954</t>
  </si>
  <si>
    <t>TXN000038</t>
  </si>
  <si>
    <t>USR00049</t>
  </si>
  <si>
    <t>19:22:44</t>
  </si>
  <si>
    <t>MCH2719</t>
  </si>
  <si>
    <t>Utilities</t>
  </si>
  <si>
    <t xml:space="preserve"> US</t>
  </si>
  <si>
    <t>TXN000275</t>
  </si>
  <si>
    <t>USR00130</t>
  </si>
  <si>
    <t>Wallet</t>
  </si>
  <si>
    <t>14:16:39</t>
  </si>
  <si>
    <t>Yes</t>
  </si>
  <si>
    <t>MCH4406</t>
  </si>
  <si>
    <t>TXN000113</t>
  </si>
  <si>
    <t>USR00040</t>
  </si>
  <si>
    <t>15:48:25</t>
  </si>
  <si>
    <t>Bangalore</t>
  </si>
  <si>
    <t xml:space="preserve">Android </t>
  </si>
  <si>
    <t>MCH1757</t>
  </si>
  <si>
    <t>Firefox</t>
  </si>
  <si>
    <t>TXN000266</t>
  </si>
  <si>
    <t>USR00233</t>
  </si>
  <si>
    <t>17:02:48</t>
  </si>
  <si>
    <t>Regular</t>
  </si>
  <si>
    <t>MCH2810</t>
  </si>
  <si>
    <t>SUCCESS</t>
  </si>
  <si>
    <t xml:space="preserve">IN </t>
  </si>
  <si>
    <t>TXN000411</t>
  </si>
  <si>
    <t>USR00068</t>
  </si>
  <si>
    <t>21:51:27</t>
  </si>
  <si>
    <t>iOS</t>
  </si>
  <si>
    <t>MCH1371</t>
  </si>
  <si>
    <t>TXN000014</t>
  </si>
  <si>
    <t>USR00203</t>
  </si>
  <si>
    <t>11:29:40</t>
  </si>
  <si>
    <t>MCH2716</t>
  </si>
  <si>
    <t>TXN000202</t>
  </si>
  <si>
    <t>USR00151</t>
  </si>
  <si>
    <t>22:18:30</t>
  </si>
  <si>
    <t>MCH9975</t>
  </si>
  <si>
    <t>TXN000316</t>
  </si>
  <si>
    <t>USR00139</t>
  </si>
  <si>
    <t>04:57:03</t>
  </si>
  <si>
    <t>MCH3654</t>
  </si>
  <si>
    <t>Food</t>
  </si>
  <si>
    <t>TXN000493</t>
  </si>
  <si>
    <t>USR00067</t>
  </si>
  <si>
    <t>18:46:51</t>
  </si>
  <si>
    <t>MCH3949</t>
  </si>
  <si>
    <t>TXN000119</t>
  </si>
  <si>
    <t>USR00053</t>
  </si>
  <si>
    <t>17:04:46</t>
  </si>
  <si>
    <t>MCH7726</t>
  </si>
  <si>
    <t>TXN000149</t>
  </si>
  <si>
    <t>USR00234</t>
  </si>
  <si>
    <t>19:07:21</t>
  </si>
  <si>
    <t>MCH1607</t>
  </si>
  <si>
    <t>UK</t>
  </si>
  <si>
    <t>TXN000335</t>
  </si>
  <si>
    <t>USR00096</t>
  </si>
  <si>
    <t>03:18:47</t>
  </si>
  <si>
    <t>MCH3229</t>
  </si>
  <si>
    <t>TXN000395</t>
  </si>
  <si>
    <t>USR00217</t>
  </si>
  <si>
    <t>21:48:16</t>
  </si>
  <si>
    <t>Hyderabad</t>
  </si>
  <si>
    <t>MCH6874</t>
  </si>
  <si>
    <t>TXN000090</t>
  </si>
  <si>
    <t>USR00134</t>
  </si>
  <si>
    <t>03:20:12</t>
  </si>
  <si>
    <t>MCH2003</t>
  </si>
  <si>
    <t>TXN000353</t>
  </si>
  <si>
    <t>USR00222</t>
  </si>
  <si>
    <t>18:41:34</t>
  </si>
  <si>
    <t>MCH5563</t>
  </si>
  <si>
    <t>TXN000422</t>
  </si>
  <si>
    <t>USR00145</t>
  </si>
  <si>
    <t>07:23:59</t>
  </si>
  <si>
    <t>MCH5571</t>
  </si>
  <si>
    <t>Retail</t>
  </si>
  <si>
    <t>TXN000306</t>
  </si>
  <si>
    <t>USR00184</t>
  </si>
  <si>
    <t>06:26:26</t>
  </si>
  <si>
    <t>MCH8469</t>
  </si>
  <si>
    <t>TXN000219</t>
  </si>
  <si>
    <t>USR00062</t>
  </si>
  <si>
    <t>04:21:04</t>
  </si>
  <si>
    <t>Kolkata</t>
  </si>
  <si>
    <t>MCH9090</t>
  </si>
  <si>
    <t>TXN000424</t>
  </si>
  <si>
    <t>USR00033</t>
  </si>
  <si>
    <t>20:07:54</t>
  </si>
  <si>
    <t>MCH3237</t>
  </si>
  <si>
    <t>TXN000252</t>
  </si>
  <si>
    <t>USR00137</t>
  </si>
  <si>
    <t>12:50:23</t>
  </si>
  <si>
    <t>Mumbai</t>
  </si>
  <si>
    <t xml:space="preserve">Yes </t>
  </si>
  <si>
    <t>MCH4092</t>
  </si>
  <si>
    <t>TXN000222</t>
  </si>
  <si>
    <t>14:20:09</t>
  </si>
  <si>
    <t>MCH2902</t>
  </si>
  <si>
    <t>TXN000498</t>
  </si>
  <si>
    <t>USR00032</t>
  </si>
  <si>
    <t>13:10:52</t>
  </si>
  <si>
    <t>Jaipur</t>
  </si>
  <si>
    <t>MCH2243</t>
  </si>
  <si>
    <t>TXN000421</t>
  </si>
  <si>
    <t>USR00195</t>
  </si>
  <si>
    <t>23:11:09</t>
  </si>
  <si>
    <t>MCH9976</t>
  </si>
  <si>
    <t>TXN000024</t>
  </si>
  <si>
    <t>USR00088</t>
  </si>
  <si>
    <t>11:58:19</t>
  </si>
  <si>
    <t>MCH3011</t>
  </si>
  <si>
    <t>TXN000037</t>
  </si>
  <si>
    <t>USR00089</t>
  </si>
  <si>
    <t>22:43:37</t>
  </si>
  <si>
    <t>MCH7100</t>
  </si>
  <si>
    <t>TXN000327</t>
  </si>
  <si>
    <t>04:15:57</t>
  </si>
  <si>
    <t>MCH5042</t>
  </si>
  <si>
    <t>TXN000300</t>
  </si>
  <si>
    <t>USR00198</t>
  </si>
  <si>
    <t>09:57:15</t>
  </si>
  <si>
    <t>MCH7337</t>
  </si>
  <si>
    <t>TXN000006</t>
  </si>
  <si>
    <t>USR00072</t>
  </si>
  <si>
    <t>05:16:58</t>
  </si>
  <si>
    <t>MCH2008</t>
  </si>
  <si>
    <t>TXN000042</t>
  </si>
  <si>
    <t>USR00220</t>
  </si>
  <si>
    <t>00:54:07</t>
  </si>
  <si>
    <t>MCH1896</t>
  </si>
  <si>
    <t>TXN000251</t>
  </si>
  <si>
    <t>USR00155</t>
  </si>
  <si>
    <t>22:42:00</t>
  </si>
  <si>
    <t>MCH5713</t>
  </si>
  <si>
    <t>TXN000227</t>
  </si>
  <si>
    <t>USR00084</t>
  </si>
  <si>
    <t>20:17:36</t>
  </si>
  <si>
    <t>MCH2789</t>
  </si>
  <si>
    <t>TXN000487</t>
  </si>
  <si>
    <t>USR00018</t>
  </si>
  <si>
    <t>15:56:18</t>
  </si>
  <si>
    <t>MCH5875</t>
  </si>
  <si>
    <t>TXN000466</t>
  </si>
  <si>
    <t>USR00099</t>
  </si>
  <si>
    <t>07:55:27</t>
  </si>
  <si>
    <t>MCH7828</t>
  </si>
  <si>
    <t>TXN000121</t>
  </si>
  <si>
    <t>USR00154</t>
  </si>
  <si>
    <t>01:32:54</t>
  </si>
  <si>
    <t>MCH3418</t>
  </si>
  <si>
    <t>TXN000489</t>
  </si>
  <si>
    <t>09:18:08</t>
  </si>
  <si>
    <t>MCH7582</t>
  </si>
  <si>
    <t>TXN000292</t>
  </si>
  <si>
    <t>USR00129</t>
  </si>
  <si>
    <t>17:30:14</t>
  </si>
  <si>
    <t>MCH6308</t>
  </si>
  <si>
    <t>TXN000286</t>
  </si>
  <si>
    <t>07:45:06</t>
  </si>
  <si>
    <t>MCH6929</t>
  </si>
  <si>
    <t>TXN000415</t>
  </si>
  <si>
    <t>USR00048</t>
  </si>
  <si>
    <t>23:02:07</t>
  </si>
  <si>
    <t>MCH7010</t>
  </si>
  <si>
    <t>TXN000254</t>
  </si>
  <si>
    <t>USR00165</t>
  </si>
  <si>
    <t>04:19:20</t>
  </si>
  <si>
    <t>MCH7308</t>
  </si>
  <si>
    <t>TXN000209</t>
  </si>
  <si>
    <t>USR00013</t>
  </si>
  <si>
    <t>13:50:06</t>
  </si>
  <si>
    <t>MCH7799</t>
  </si>
  <si>
    <t>TXN000324</t>
  </si>
  <si>
    <t>USR00208</t>
  </si>
  <si>
    <t>12:19:16</t>
  </si>
  <si>
    <t>MCH7854</t>
  </si>
  <si>
    <t>TXN000461</t>
  </si>
  <si>
    <t>USR00158</t>
  </si>
  <si>
    <t>15:21:16</t>
  </si>
  <si>
    <t>MCH1242</t>
  </si>
  <si>
    <t>TXN000151</t>
  </si>
  <si>
    <t>USR00250</t>
  </si>
  <si>
    <t>04:12:28</t>
  </si>
  <si>
    <t>MCH2764</t>
  </si>
  <si>
    <t>TXN000425</t>
  </si>
  <si>
    <t>USR00176</t>
  </si>
  <si>
    <t>08:46:14</t>
  </si>
  <si>
    <t>MCH5054</t>
  </si>
  <si>
    <t>TXN000002</t>
  </si>
  <si>
    <t>USR00180</t>
  </si>
  <si>
    <t>05:44:40</t>
  </si>
  <si>
    <t>MCH9383</t>
  </si>
  <si>
    <t>TXN000272</t>
  </si>
  <si>
    <t>USR00052</t>
  </si>
  <si>
    <t>12:52:31</t>
  </si>
  <si>
    <t>MCH1931</t>
  </si>
  <si>
    <t>TXN000287</t>
  </si>
  <si>
    <t>USR00054</t>
  </si>
  <si>
    <t>22:43:31</t>
  </si>
  <si>
    <t>MCH7792</t>
  </si>
  <si>
    <t>TXN000310</t>
  </si>
  <si>
    <t>USR00024</t>
  </si>
  <si>
    <t>21:11:16</t>
  </si>
  <si>
    <t>MCH3176</t>
  </si>
  <si>
    <t>TXN000318</t>
  </si>
  <si>
    <t>USR00144</t>
  </si>
  <si>
    <t>09:23:53</t>
  </si>
  <si>
    <t>MCH2371</t>
  </si>
  <si>
    <t>TXN000057</t>
  </si>
  <si>
    <t>USR00229</t>
  </si>
  <si>
    <t>15:12:08</t>
  </si>
  <si>
    <t>MCH6904</t>
  </si>
  <si>
    <t>TXN000143</t>
  </si>
  <si>
    <t>USR00136</t>
  </si>
  <si>
    <t>07:49:02</t>
  </si>
  <si>
    <t>MCH3053</t>
  </si>
  <si>
    <t>TXN000267</t>
  </si>
  <si>
    <t>03:03:13</t>
  </si>
  <si>
    <t>MCH5566</t>
  </si>
  <si>
    <t>TXN000208</t>
  </si>
  <si>
    <t>USR00036</t>
  </si>
  <si>
    <t>02:20:08</t>
  </si>
  <si>
    <t>MCH2881</t>
  </si>
  <si>
    <t>TXN000352</t>
  </si>
  <si>
    <t>USR00159</t>
  </si>
  <si>
    <t>12:50:52</t>
  </si>
  <si>
    <t>MCH9376</t>
  </si>
  <si>
    <t>TXN000268</t>
  </si>
  <si>
    <t>USR00113</t>
  </si>
  <si>
    <t>08:40:24</t>
  </si>
  <si>
    <t>MCH2909</t>
  </si>
  <si>
    <t>TXN000047</t>
  </si>
  <si>
    <t>USR00190</t>
  </si>
  <si>
    <t>17:17:16</t>
  </si>
  <si>
    <t>MCH4904</t>
  </si>
  <si>
    <t>TXN000452</t>
  </si>
  <si>
    <t>11:08:20</t>
  </si>
  <si>
    <t>MCH3076</t>
  </si>
  <si>
    <t>TXN000243</t>
  </si>
  <si>
    <t>USR00121</t>
  </si>
  <si>
    <t>10:54:33</t>
  </si>
  <si>
    <t>MCH8347</t>
  </si>
  <si>
    <t>TXN000444</t>
  </si>
  <si>
    <t>USR00030</t>
  </si>
  <si>
    <t>22:26:04</t>
  </si>
  <si>
    <t>MCH2986</t>
  </si>
  <si>
    <t>TXN000160</t>
  </si>
  <si>
    <t>19:39:55</t>
  </si>
  <si>
    <t>MCH1808</t>
  </si>
  <si>
    <t>TXN000155</t>
  </si>
  <si>
    <t>USR00201</t>
  </si>
  <si>
    <t>16:15:11</t>
  </si>
  <si>
    <t>MCH4177</t>
  </si>
  <si>
    <t>TXN000036</t>
  </si>
  <si>
    <t>USR00236</t>
  </si>
  <si>
    <t>14:42:49</t>
  </si>
  <si>
    <t>MCH4806</t>
  </si>
  <si>
    <t>TXN000213</t>
  </si>
  <si>
    <t>USR00243</t>
  </si>
  <si>
    <t>04:38:59</t>
  </si>
  <si>
    <t>MCH7447</t>
  </si>
  <si>
    <t>TXN000277</t>
  </si>
  <si>
    <t>07:58:13</t>
  </si>
  <si>
    <t>MCH2032</t>
  </si>
  <si>
    <t>TXN000055</t>
  </si>
  <si>
    <t>USR00249</t>
  </si>
  <si>
    <t>01:49:05</t>
  </si>
  <si>
    <t>MCH7845</t>
  </si>
  <si>
    <t>TXN000150</t>
  </si>
  <si>
    <t>USR00231</t>
  </si>
  <si>
    <t>11:57:35</t>
  </si>
  <si>
    <t>MCH5552</t>
  </si>
  <si>
    <t>TXN000177</t>
  </si>
  <si>
    <t>USR00131</t>
  </si>
  <si>
    <t>11:46:48</t>
  </si>
  <si>
    <t>MCH4246</t>
  </si>
  <si>
    <t>TXN000166</t>
  </si>
  <si>
    <t>05:51:33</t>
  </si>
  <si>
    <t>MCH3806</t>
  </si>
  <si>
    <t>TXN000175</t>
  </si>
  <si>
    <t>USR00175</t>
  </si>
  <si>
    <t>10:14:21</t>
  </si>
  <si>
    <t>MCH2106</t>
  </si>
  <si>
    <t>TXN000488</t>
  </si>
  <si>
    <t>USR00025</t>
  </si>
  <si>
    <t>13:50:02</t>
  </si>
  <si>
    <t>MCH6326</t>
  </si>
  <si>
    <t>TXN000362</t>
  </si>
  <si>
    <t>USR00060</t>
  </si>
  <si>
    <t>21:45:59</t>
  </si>
  <si>
    <t>MCH9713</t>
  </si>
  <si>
    <t>TXN000400</t>
  </si>
  <si>
    <t>USR00128</t>
  </si>
  <si>
    <t>01:09:33</t>
  </si>
  <si>
    <t>MCH8766</t>
  </si>
  <si>
    <t>TXN000194</t>
  </si>
  <si>
    <t>07:20:33</t>
  </si>
  <si>
    <t>MCH8381</t>
  </si>
  <si>
    <t>TXN000205</t>
  </si>
  <si>
    <t>USR00143</t>
  </si>
  <si>
    <t>01:10:49</t>
  </si>
  <si>
    <t>MCH2553</t>
  </si>
  <si>
    <t>TXN000364</t>
  </si>
  <si>
    <t>USR00002</t>
  </si>
  <si>
    <t>19:23:24</t>
  </si>
  <si>
    <t>MCH6807</t>
  </si>
  <si>
    <t>TXN000223</t>
  </si>
  <si>
    <t>USR00028</t>
  </si>
  <si>
    <t>22:57:55</t>
  </si>
  <si>
    <t>MCH5670</t>
  </si>
  <si>
    <t>TXN000326</t>
  </si>
  <si>
    <t>USR00003</t>
  </si>
  <si>
    <t>13:02:23</t>
  </si>
  <si>
    <t>MCH7553</t>
  </si>
  <si>
    <t>TXN000116</t>
  </si>
  <si>
    <t>USR00237</t>
  </si>
  <si>
    <t>06:09:24</t>
  </si>
  <si>
    <t>MCH4558</t>
  </si>
  <si>
    <t>TXN000003</t>
  </si>
  <si>
    <t>USR00093</t>
  </si>
  <si>
    <t>21:59:46</t>
  </si>
  <si>
    <t>MCH8409</t>
  </si>
  <si>
    <t>TXN000468</t>
  </si>
  <si>
    <t>08:19:59</t>
  </si>
  <si>
    <t>MCH9844</t>
  </si>
  <si>
    <t>TXN000320</t>
  </si>
  <si>
    <t>05:20:53</t>
  </si>
  <si>
    <t>MCH1320</t>
  </si>
  <si>
    <t>TXN000096</t>
  </si>
  <si>
    <t>USR00191</t>
  </si>
  <si>
    <t>03:29:17</t>
  </si>
  <si>
    <t>MCH7265</t>
  </si>
  <si>
    <t>TXN000115</t>
  </si>
  <si>
    <t>23:18:35</t>
  </si>
  <si>
    <t>MCH4854</t>
  </si>
  <si>
    <t>TXN000430</t>
  </si>
  <si>
    <t>USR00119</t>
  </si>
  <si>
    <t>02:44:02</t>
  </si>
  <si>
    <t>MCH8774</t>
  </si>
  <si>
    <t>TXN000174</t>
  </si>
  <si>
    <t>USR00101</t>
  </si>
  <si>
    <t>05:34:21</t>
  </si>
  <si>
    <t>MCH2814</t>
  </si>
  <si>
    <t>TXN000271</t>
  </si>
  <si>
    <t>USR00186</t>
  </si>
  <si>
    <t>07:01:53</t>
  </si>
  <si>
    <t>MCH1691</t>
  </si>
  <si>
    <t>TXN000299</t>
  </si>
  <si>
    <t>USR00160</t>
  </si>
  <si>
    <t>04:46:07</t>
  </si>
  <si>
    <t>MCH1129</t>
  </si>
  <si>
    <t>TXN000448</t>
  </si>
  <si>
    <t>USR00192</t>
  </si>
  <si>
    <t>08:51:37</t>
  </si>
  <si>
    <t>MCH9320</t>
  </si>
  <si>
    <t>TXN000188</t>
  </si>
  <si>
    <t>USR00090</t>
  </si>
  <si>
    <t>21:32:35</t>
  </si>
  <si>
    <t>MCH2048</t>
  </si>
  <si>
    <t>TXN000098</t>
  </si>
  <si>
    <t>USR00218</t>
  </si>
  <si>
    <t>03:25:24</t>
  </si>
  <si>
    <t>MCH7524</t>
  </si>
  <si>
    <t>TXN000189</t>
  </si>
  <si>
    <t>USR00042</t>
  </si>
  <si>
    <t>13:00:45</t>
  </si>
  <si>
    <t>MCH9307</t>
  </si>
  <si>
    <t>TXN000240</t>
  </si>
  <si>
    <t>15:28:32</t>
  </si>
  <si>
    <t>MCH1969</t>
  </si>
  <si>
    <t>TXN000312</t>
  </si>
  <si>
    <t>USR00116</t>
  </si>
  <si>
    <t>01:52:56</t>
  </si>
  <si>
    <t>MCH1886</t>
  </si>
  <si>
    <t>TXN000084</t>
  </si>
  <si>
    <t>USR00081</t>
  </si>
  <si>
    <t>11:58:42</t>
  </si>
  <si>
    <t>MCH7928</t>
  </si>
  <si>
    <t>TXN000123</t>
  </si>
  <si>
    <t>USR00188</t>
  </si>
  <si>
    <t>15:36:14</t>
  </si>
  <si>
    <t>MCH2001</t>
  </si>
  <si>
    <t>TXN000126</t>
  </si>
  <si>
    <t>USR00041</t>
  </si>
  <si>
    <t>13:12:56</t>
  </si>
  <si>
    <t>MCH5066</t>
  </si>
  <si>
    <t>TXN000091</t>
  </si>
  <si>
    <t>21:18:33</t>
  </si>
  <si>
    <t>MCH8504</t>
  </si>
  <si>
    <t>TXN000102</t>
  </si>
  <si>
    <t>23:48:41</t>
  </si>
  <si>
    <t>MCH5895</t>
  </si>
  <si>
    <t>TXN000342</t>
  </si>
  <si>
    <t>USR00039</t>
  </si>
  <si>
    <t>16:05:03</t>
  </si>
  <si>
    <t>MCH9635</t>
  </si>
  <si>
    <t>TXN000068</t>
  </si>
  <si>
    <t>USR00242</t>
  </si>
  <si>
    <t>06:14:20</t>
  </si>
  <si>
    <t>MCH4580</t>
  </si>
  <si>
    <t>TXN000476</t>
  </si>
  <si>
    <t>08:34:59</t>
  </si>
  <si>
    <t>MCH8977</t>
  </si>
  <si>
    <t>TXN000136</t>
  </si>
  <si>
    <t>00:35:02</t>
  </si>
  <si>
    <t>MCH9644</t>
  </si>
  <si>
    <t>TXN000345</t>
  </si>
  <si>
    <t>13:59:10</t>
  </si>
  <si>
    <t>MCH2015</t>
  </si>
  <si>
    <t>TXN000099</t>
  </si>
  <si>
    <t>USR00044</t>
  </si>
  <si>
    <t>10:06:30</t>
  </si>
  <si>
    <t>MCH2073</t>
  </si>
  <si>
    <t>TXN000341</t>
  </si>
  <si>
    <t>21:44:32</t>
  </si>
  <si>
    <t>MCH5873</t>
  </si>
  <si>
    <t>TXN000311</t>
  </si>
  <si>
    <t>USR00069</t>
  </si>
  <si>
    <t>13:13:56</t>
  </si>
  <si>
    <t>MCH6002</t>
  </si>
  <si>
    <t>TXN000397</t>
  </si>
  <si>
    <t>USR00153</t>
  </si>
  <si>
    <t>05:33:00</t>
  </si>
  <si>
    <t>MCH3014</t>
  </si>
  <si>
    <t>TXN000078</t>
  </si>
  <si>
    <t>USR00199</t>
  </si>
  <si>
    <t>20:28:25</t>
  </si>
  <si>
    <t>MCH8982</t>
  </si>
  <si>
    <t>TXN000236</t>
  </si>
  <si>
    <t>09:20:41</t>
  </si>
  <si>
    <t>MCH3851</t>
  </si>
  <si>
    <t>TXN000281</t>
  </si>
  <si>
    <t>23:20:34</t>
  </si>
  <si>
    <t>MCH2873</t>
  </si>
  <si>
    <t>TXN000363</t>
  </si>
  <si>
    <t>11:59:56</t>
  </si>
  <si>
    <t>MCH4809</t>
  </si>
  <si>
    <t>TXN000379</t>
  </si>
  <si>
    <t>10:19:23</t>
  </si>
  <si>
    <t>MCH5769</t>
  </si>
  <si>
    <t>TXN000218</t>
  </si>
  <si>
    <t>21:13:06</t>
  </si>
  <si>
    <t>MCH5922</t>
  </si>
  <si>
    <t>TXN000317</t>
  </si>
  <si>
    <t>USR00240</t>
  </si>
  <si>
    <t>14:03:19</t>
  </si>
  <si>
    <t>MCH8392</t>
  </si>
  <si>
    <t>TXN000270</t>
  </si>
  <si>
    <t>USR00241</t>
  </si>
  <si>
    <t>20:35:11</t>
  </si>
  <si>
    <t>MCH3581</t>
  </si>
  <si>
    <t>TXN000366</t>
  </si>
  <si>
    <t>23:43:41</t>
  </si>
  <si>
    <t>MCH8206</t>
  </si>
  <si>
    <t>TXN000164</t>
  </si>
  <si>
    <t>USR00216</t>
  </si>
  <si>
    <t>06:31:32</t>
  </si>
  <si>
    <t>MCH5051</t>
  </si>
  <si>
    <t>TXN000020</t>
  </si>
  <si>
    <t>04:11:36</t>
  </si>
  <si>
    <t>MCH8616</t>
  </si>
  <si>
    <t>TXN000441</t>
  </si>
  <si>
    <t>USR00027</t>
  </si>
  <si>
    <t>20:20:29</t>
  </si>
  <si>
    <t>MCH3575</t>
  </si>
  <si>
    <t>TXN000214</t>
  </si>
  <si>
    <t>19:28:51</t>
  </si>
  <si>
    <t>MCH3345</t>
  </si>
  <si>
    <t>TXN000407</t>
  </si>
  <si>
    <t>USR00189</t>
  </si>
  <si>
    <t>20:19:25</t>
  </si>
  <si>
    <t>MCH5651</t>
  </si>
  <si>
    <t>TXN000285</t>
  </si>
  <si>
    <t>20:07:45</t>
  </si>
  <si>
    <t>MCH2859</t>
  </si>
  <si>
    <t>TXN000295</t>
  </si>
  <si>
    <t>10:36:32</t>
  </si>
  <si>
    <t>MCH6953</t>
  </si>
  <si>
    <t>TXN000412</t>
  </si>
  <si>
    <t>13:26:40</t>
  </si>
  <si>
    <t>MCH7998</t>
  </si>
  <si>
    <t>TXN000009</t>
  </si>
  <si>
    <t>USR00103</t>
  </si>
  <si>
    <t>11:55:35</t>
  </si>
  <si>
    <t>MCH5298</t>
  </si>
  <si>
    <t>TXN000368</t>
  </si>
  <si>
    <t>USR00197</t>
  </si>
  <si>
    <t>02:54:27</t>
  </si>
  <si>
    <t>MCH5673</t>
  </si>
  <si>
    <t>TXN000496</t>
  </si>
  <si>
    <t>16:29:08</t>
  </si>
  <si>
    <t>MCH5837</t>
  </si>
  <si>
    <t>TXN000423</t>
  </si>
  <si>
    <t>08:35:36</t>
  </si>
  <si>
    <t>MCH6229</t>
  </si>
  <si>
    <t>TXN000361</t>
  </si>
  <si>
    <t>USR00244</t>
  </si>
  <si>
    <t>03:05:40</t>
  </si>
  <si>
    <t>TXN000134</t>
  </si>
  <si>
    <t>06:44:45</t>
  </si>
  <si>
    <t>MCH7316</t>
  </si>
  <si>
    <t>TXN000386</t>
  </si>
  <si>
    <t>USR00075</t>
  </si>
  <si>
    <t>23:48:18</t>
  </si>
  <si>
    <t>MCH5535</t>
  </si>
  <si>
    <t>TXN000159</t>
  </si>
  <si>
    <t>07:53:04</t>
  </si>
  <si>
    <t>MCH6054</t>
  </si>
  <si>
    <t>TXN000291</t>
  </si>
  <si>
    <t>USR00225</t>
  </si>
  <si>
    <t>20:14:51</t>
  </si>
  <si>
    <t>MCH9681</t>
  </si>
  <si>
    <t>TXN000369</t>
  </si>
  <si>
    <t>USR00037</t>
  </si>
  <si>
    <t>13:55:09</t>
  </si>
  <si>
    <t>MCH2409</t>
  </si>
  <si>
    <t>TXN000186</t>
  </si>
  <si>
    <t>USR00207</t>
  </si>
  <si>
    <t>13:19:17</t>
  </si>
  <si>
    <t>MCH4561</t>
  </si>
  <si>
    <t>TXN000453</t>
  </si>
  <si>
    <t>23:33:21</t>
  </si>
  <si>
    <t>MCH6231</t>
  </si>
  <si>
    <t>TXN000314</t>
  </si>
  <si>
    <t>18:30:54</t>
  </si>
  <si>
    <t>MCH4398</t>
  </si>
  <si>
    <t>TXN000350</t>
  </si>
  <si>
    <t>USR00178</t>
  </si>
  <si>
    <t>16:29:53</t>
  </si>
  <si>
    <t>MCH2260</t>
  </si>
  <si>
    <t>TXN000470</t>
  </si>
  <si>
    <t>22:02:03</t>
  </si>
  <si>
    <t>MCH4512</t>
  </si>
  <si>
    <t>TXN000053</t>
  </si>
  <si>
    <t>13:52:47</t>
  </si>
  <si>
    <t>MCH9869</t>
  </si>
  <si>
    <t>TXN000030</t>
  </si>
  <si>
    <t>18:13:11</t>
  </si>
  <si>
    <t>MCH7078</t>
  </si>
  <si>
    <t>TXN000138</t>
  </si>
  <si>
    <t>05:40:38</t>
  </si>
  <si>
    <t>MCH2657</t>
  </si>
  <si>
    <t>TXN000120</t>
  </si>
  <si>
    <t>16:34:43</t>
  </si>
  <si>
    <t>MCH4575</t>
  </si>
  <si>
    <t>TXN000276</t>
  </si>
  <si>
    <t>17:54:08</t>
  </si>
  <si>
    <t>MCH9339</t>
  </si>
  <si>
    <t>TXN000494</t>
  </si>
  <si>
    <t>USR00104</t>
  </si>
  <si>
    <t>13:55:37</t>
  </si>
  <si>
    <t>MCH1941</t>
  </si>
  <si>
    <t>TXN000357</t>
  </si>
  <si>
    <t>09:04:35</t>
  </si>
  <si>
    <t>MCH7155</t>
  </si>
  <si>
    <t>TXN000382</t>
  </si>
  <si>
    <t>USR00120</t>
  </si>
  <si>
    <t>11:55:13</t>
  </si>
  <si>
    <t>MCH7135</t>
  </si>
  <si>
    <t>TXN000022</t>
  </si>
  <si>
    <t>11:55:27</t>
  </si>
  <si>
    <t>MCH3866</t>
  </si>
  <si>
    <t>TXN000140</t>
  </si>
  <si>
    <t>01:59:04</t>
  </si>
  <si>
    <t>MCH7763</t>
  </si>
  <si>
    <t>TXN000471</t>
  </si>
  <si>
    <t>14:37:14</t>
  </si>
  <si>
    <t>MCH2499</t>
  </si>
  <si>
    <t>TXN000390</t>
  </si>
  <si>
    <t>USR00166</t>
  </si>
  <si>
    <t>03:41:56</t>
  </si>
  <si>
    <t>MCH1662</t>
  </si>
  <si>
    <t>TXN000106</t>
  </si>
  <si>
    <t>11:55:44</t>
  </si>
  <si>
    <t>MCH4907</t>
  </si>
  <si>
    <t>TXN000027</t>
  </si>
  <si>
    <t>USR00038</t>
  </si>
  <si>
    <t>00:54:34</t>
  </si>
  <si>
    <t>MCH5006</t>
  </si>
  <si>
    <t>TXN000043</t>
  </si>
  <si>
    <t>05:04:46</t>
  </si>
  <si>
    <t>MCH6558</t>
  </si>
  <si>
    <t>TXN000409</t>
  </si>
  <si>
    <t>USR00228</t>
  </si>
  <si>
    <t>21:14:55</t>
  </si>
  <si>
    <t>MCH8940</t>
  </si>
  <si>
    <t>TXN000225</t>
  </si>
  <si>
    <t>USR00108</t>
  </si>
  <si>
    <t>12:20:25</t>
  </si>
  <si>
    <t>MCH3059</t>
  </si>
  <si>
    <t>TXN000165</t>
  </si>
  <si>
    <t>20:15:11</t>
  </si>
  <si>
    <t>MCH3197</t>
  </si>
  <si>
    <t>TXN000171</t>
  </si>
  <si>
    <t>USR00035</t>
  </si>
  <si>
    <t>08:00:10</t>
  </si>
  <si>
    <t>MCH3123</t>
  </si>
  <si>
    <t>TXN000380</t>
  </si>
  <si>
    <t>USR00152</t>
  </si>
  <si>
    <t>14:47:06</t>
  </si>
  <si>
    <t>MCH6247</t>
  </si>
  <si>
    <t>TXN000473</t>
  </si>
  <si>
    <t>20:52:45</t>
  </si>
  <si>
    <t>MCH6162</t>
  </si>
  <si>
    <t>TXN000339</t>
  </si>
  <si>
    <t>USR00161</t>
  </si>
  <si>
    <t>16:58:27</t>
  </si>
  <si>
    <t>MCH8845</t>
  </si>
  <si>
    <t>TXN000013</t>
  </si>
  <si>
    <t>09:28:09</t>
  </si>
  <si>
    <t>MCH7009</t>
  </si>
  <si>
    <t>TXN000435</t>
  </si>
  <si>
    <t>USR00230</t>
  </si>
  <si>
    <t>15:42:36</t>
  </si>
  <si>
    <t>MCH3778</t>
  </si>
  <si>
    <t>TXN000255</t>
  </si>
  <si>
    <t>07:57:30</t>
  </si>
  <si>
    <t>MCH8478</t>
  </si>
  <si>
    <t>TXN000133</t>
  </si>
  <si>
    <t>05:41:31</t>
  </si>
  <si>
    <t>MCH8549</t>
  </si>
  <si>
    <t>TXN000388</t>
  </si>
  <si>
    <t>USR00200</t>
  </si>
  <si>
    <t>11:56:40</t>
  </si>
  <si>
    <t>MCH8697</t>
  </si>
  <si>
    <t>TXN000428</t>
  </si>
  <si>
    <t>USR00115</t>
  </si>
  <si>
    <t>19:05:11</t>
  </si>
  <si>
    <t>MCH8891</t>
  </si>
  <si>
    <t>TXN000142</t>
  </si>
  <si>
    <t>20:07:37</t>
  </si>
  <si>
    <t>MCH4164</t>
  </si>
  <si>
    <t>TXN000394</t>
  </si>
  <si>
    <t>USR00112</t>
  </si>
  <si>
    <t>10:40:38</t>
  </si>
  <si>
    <t>MCH6060</t>
  </si>
  <si>
    <t>TXN000154</t>
  </si>
  <si>
    <t>USR00135</t>
  </si>
  <si>
    <t>22:15:11</t>
  </si>
  <si>
    <t>MCH4962</t>
  </si>
  <si>
    <t>TXN000483</t>
  </si>
  <si>
    <t>USR00215</t>
  </si>
  <si>
    <t>18:29:13</t>
  </si>
  <si>
    <t>MCH5232</t>
  </si>
  <si>
    <t>TXN000417</t>
  </si>
  <si>
    <t>USR00248</t>
  </si>
  <si>
    <t>19:34:05</t>
  </si>
  <si>
    <t>MCH5942</t>
  </si>
  <si>
    <t>TXN000283</t>
  </si>
  <si>
    <t>11:40:46</t>
  </si>
  <si>
    <t>MCH4748</t>
  </si>
  <si>
    <t>TXN000449</t>
  </si>
  <si>
    <t>17:05:18</t>
  </si>
  <si>
    <t>MCH6968</t>
  </si>
  <si>
    <t>TXN000485</t>
  </si>
  <si>
    <t>07:23:13</t>
  </si>
  <si>
    <t>MCH3799</t>
  </si>
  <si>
    <t>TXN000031</t>
  </si>
  <si>
    <t>USR00021</t>
  </si>
  <si>
    <t>09:19:52</t>
  </si>
  <si>
    <t>MCH8036</t>
  </si>
  <si>
    <t>TXN000203</t>
  </si>
  <si>
    <t>18:04:18</t>
  </si>
  <si>
    <t>MCH9432</t>
  </si>
  <si>
    <t>TXN000269</t>
  </si>
  <si>
    <t>22:49:09</t>
  </si>
  <si>
    <t>MCH7364</t>
  </si>
  <si>
    <t>TXN000144</t>
  </si>
  <si>
    <t>USR00163</t>
  </si>
  <si>
    <t>21:43:57</t>
  </si>
  <si>
    <t>MCH9479</t>
  </si>
  <si>
    <t>TXN000015</t>
  </si>
  <si>
    <t>00:04:19</t>
  </si>
  <si>
    <t>MCH1310</t>
  </si>
  <si>
    <t>TXN000081</t>
  </si>
  <si>
    <t>11:35:14</t>
  </si>
  <si>
    <t>MCH9901</t>
  </si>
  <si>
    <t>TXN000051</t>
  </si>
  <si>
    <t>03:32:00</t>
  </si>
  <si>
    <t>MCH6454</t>
  </si>
  <si>
    <t>TXN000071</t>
  </si>
  <si>
    <t>MCH3462</t>
  </si>
  <si>
    <t>TXN000389</t>
  </si>
  <si>
    <t>USR00164</t>
  </si>
  <si>
    <t>00:49:52</t>
  </si>
  <si>
    <t>MCH9386</t>
  </si>
  <si>
    <t>TXN000313</t>
  </si>
  <si>
    <t>USR00098</t>
  </si>
  <si>
    <t>19:10:15</t>
  </si>
  <si>
    <t>MCH9532</t>
  </si>
  <si>
    <t>TXN000127</t>
  </si>
  <si>
    <t>USR00157</t>
  </si>
  <si>
    <t>01:34:06</t>
  </si>
  <si>
    <t>MCH3845</t>
  </si>
  <si>
    <t>TXN000074</t>
  </si>
  <si>
    <t>13:09:01</t>
  </si>
  <si>
    <t>MCH1406</t>
  </si>
  <si>
    <t>TXN000429</t>
  </si>
  <si>
    <t>USR00214</t>
  </si>
  <si>
    <t>01:06:15</t>
  </si>
  <si>
    <t>MCH1325</t>
  </si>
  <si>
    <t>TXN000297</t>
  </si>
  <si>
    <t>USR00172</t>
  </si>
  <si>
    <t>18:22:28</t>
  </si>
  <si>
    <t>MCH2907</t>
  </si>
  <si>
    <t>TXN000183</t>
  </si>
  <si>
    <t>13:08:14</t>
  </si>
  <si>
    <t>MCH4096</t>
  </si>
  <si>
    <t>TXN000370</t>
  </si>
  <si>
    <t>15:15:53</t>
  </si>
  <si>
    <t>MCH6197</t>
  </si>
  <si>
    <t>TXN000100</t>
  </si>
  <si>
    <t>USR00162</t>
  </si>
  <si>
    <t>11:09:38</t>
  </si>
  <si>
    <t>MCH6184</t>
  </si>
  <si>
    <t>TXN000443</t>
  </si>
  <si>
    <t>05:57:30</t>
  </si>
  <si>
    <t>MCH2581</t>
  </si>
  <si>
    <t>TXN000467</t>
  </si>
  <si>
    <t>USR00124</t>
  </si>
  <si>
    <t>14:38:05</t>
  </si>
  <si>
    <t>MCH9362</t>
  </si>
  <si>
    <t>TXN000026</t>
  </si>
  <si>
    <t>08:36:19</t>
  </si>
  <si>
    <t>MCH5939</t>
  </si>
  <si>
    <t>TXN000094</t>
  </si>
  <si>
    <t>14:27:34</t>
  </si>
  <si>
    <t>MCH2635</t>
  </si>
  <si>
    <t>TXN000076</t>
  </si>
  <si>
    <t>USR00111</t>
  </si>
  <si>
    <t>20:25:07</t>
  </si>
  <si>
    <t>MCH7049</t>
  </si>
  <si>
    <t>TXN000328</t>
  </si>
  <si>
    <t>USR00187</t>
  </si>
  <si>
    <t>22:51:03</t>
  </si>
  <si>
    <t>MCH8498</t>
  </si>
  <si>
    <t>TXN000381</t>
  </si>
  <si>
    <t>20:41:25</t>
  </si>
  <si>
    <t>MCH5427</t>
  </si>
  <si>
    <t>TXN000200</t>
  </si>
  <si>
    <t>05:31:28</t>
  </si>
  <si>
    <t>MCH7197</t>
  </si>
  <si>
    <t>TXN000224</t>
  </si>
  <si>
    <t>06:04:00</t>
  </si>
  <si>
    <t>MCH8143</t>
  </si>
  <si>
    <t>TXN000280</t>
  </si>
  <si>
    <t>18:45:48</t>
  </si>
  <si>
    <t>MCH4121</t>
  </si>
  <si>
    <t>TXN000072</t>
  </si>
  <si>
    <t>05:25:10</t>
  </si>
  <si>
    <t>TXN000212</t>
  </si>
  <si>
    <t>06:39:16</t>
  </si>
  <si>
    <t>MCH9430</t>
  </si>
  <si>
    <t>TXN000460</t>
  </si>
  <si>
    <t>10:56:22</t>
  </si>
  <si>
    <t>MCH4144</t>
  </si>
  <si>
    <t>TXN000025</t>
  </si>
  <si>
    <t>17:13:01</t>
  </si>
  <si>
    <t>MCH7251</t>
  </si>
  <si>
    <t>TXN000210</t>
  </si>
  <si>
    <t>15:15:59</t>
  </si>
  <si>
    <t>MCH5586</t>
  </si>
  <si>
    <t>TXN000365</t>
  </si>
  <si>
    <t>03:20:29</t>
  </si>
  <si>
    <t>MCH5883</t>
  </si>
  <si>
    <t>TXN000130</t>
  </si>
  <si>
    <t>USR00065</t>
  </si>
  <si>
    <t>08:48:10</t>
  </si>
  <si>
    <t>MCH1422</t>
  </si>
  <si>
    <t>TXN000371</t>
  </si>
  <si>
    <t>USR00247</t>
  </si>
  <si>
    <t>09:24:12</t>
  </si>
  <si>
    <t>MCH8452</t>
  </si>
  <si>
    <t>TXN000041</t>
  </si>
  <si>
    <t>USR00170</t>
  </si>
  <si>
    <t>07:49:20</t>
  </si>
  <si>
    <t>MCH8000</t>
  </si>
  <si>
    <t>TXN000301</t>
  </si>
  <si>
    <t>07:00:43</t>
  </si>
  <si>
    <t>MCH3363</t>
  </si>
  <si>
    <t>TXN000302</t>
  </si>
  <si>
    <t>04:02:00</t>
  </si>
  <si>
    <t>MCH9151</t>
  </si>
  <si>
    <t>TXN000234</t>
  </si>
  <si>
    <t>USR00092</t>
  </si>
  <si>
    <t>07:34:40</t>
  </si>
  <si>
    <t>MCH1089</t>
  </si>
  <si>
    <t>TXN000263</t>
  </si>
  <si>
    <t>15:27:16</t>
  </si>
  <si>
    <t>MCH8108</t>
  </si>
  <si>
    <t>TXN000336</t>
  </si>
  <si>
    <t>12:35:29</t>
  </si>
  <si>
    <t>MCH4009</t>
  </si>
  <si>
    <t>TXN000351</t>
  </si>
  <si>
    <t>12:05:16</t>
  </si>
  <si>
    <t>MCH8701</t>
  </si>
  <si>
    <t>TXN000384</t>
  </si>
  <si>
    <t>17:04:02</t>
  </si>
  <si>
    <t>MCH5131</t>
  </si>
  <si>
    <t>TXN000185</t>
  </si>
  <si>
    <t>01:34:17</t>
  </si>
  <si>
    <t>MCH1717</t>
  </si>
  <si>
    <t>TXN000191</t>
  </si>
  <si>
    <t>USR00205</t>
  </si>
  <si>
    <t>19:02:34</t>
  </si>
  <si>
    <t>MCH6578</t>
  </si>
  <si>
    <t>TXN000046</t>
  </si>
  <si>
    <t>10:09:29</t>
  </si>
  <si>
    <t>MCH3432</t>
  </si>
  <si>
    <t>TXN000148</t>
  </si>
  <si>
    <t>USR00005</t>
  </si>
  <si>
    <t>02:33:22</t>
  </si>
  <si>
    <t>TXN000197</t>
  </si>
  <si>
    <t>11:31:31</t>
  </si>
  <si>
    <t>MCH3941</t>
  </si>
  <si>
    <t>TXN000033</t>
  </si>
  <si>
    <t>USR00204</t>
  </si>
  <si>
    <t>10:33:24</t>
  </si>
  <si>
    <t>MCH4961</t>
  </si>
  <si>
    <t>TXN000433</t>
  </si>
  <si>
    <t>MCH5932</t>
  </si>
  <si>
    <t>TXN000387</t>
  </si>
  <si>
    <t>18:24:20</t>
  </si>
  <si>
    <t>MCH3776</t>
  </si>
  <si>
    <t>TXN000319</t>
  </si>
  <si>
    <t>USR00097</t>
  </si>
  <si>
    <t>02:25:36</t>
  </si>
  <si>
    <t>MCH8135</t>
  </si>
  <si>
    <t>TXN000260</t>
  </si>
  <si>
    <t>04:04:29</t>
  </si>
  <si>
    <t>MCH3965</t>
  </si>
  <si>
    <t>TXN000284</t>
  </si>
  <si>
    <t>17:20:12</t>
  </si>
  <si>
    <t>MCH1277</t>
  </si>
  <si>
    <t>TXN000016</t>
  </si>
  <si>
    <t>USR00117</t>
  </si>
  <si>
    <t>07:42:11</t>
  </si>
  <si>
    <t>MCH5538</t>
  </si>
  <si>
    <t>TXN000162</t>
  </si>
  <si>
    <t>20:19:05</t>
  </si>
  <si>
    <t>TXN000158</t>
  </si>
  <si>
    <t>22:27:50</t>
  </si>
  <si>
    <t>MCH8263</t>
  </si>
  <si>
    <t>TXN000118</t>
  </si>
  <si>
    <t>09:32:54</t>
  </si>
  <si>
    <t>MCH4847</t>
  </si>
  <si>
    <t>TXN000069</t>
  </si>
  <si>
    <t>18:59:28</t>
  </si>
  <si>
    <t>MCH8962</t>
  </si>
  <si>
    <t>TXN000469</t>
  </si>
  <si>
    <t>00:07:54</t>
  </si>
  <si>
    <t>MCH7331</t>
  </si>
  <si>
    <t>TXN000404</t>
  </si>
  <si>
    <t>05:59:58</t>
  </si>
  <si>
    <t>MCH6675</t>
  </si>
  <si>
    <t>TXN000124</t>
  </si>
  <si>
    <t>02:27:06</t>
  </si>
  <si>
    <t>MCH6244</t>
  </si>
  <si>
    <t>TXN000360</t>
  </si>
  <si>
    <t>02:00:23</t>
  </si>
  <si>
    <t>MCH5683</t>
  </si>
  <si>
    <t>TXN000323</t>
  </si>
  <si>
    <t>USR00070</t>
  </si>
  <si>
    <t>03:59:56</t>
  </si>
  <si>
    <t>MCH7761</t>
  </si>
  <si>
    <t>TXN000196</t>
  </si>
  <si>
    <t>03:44:59</t>
  </si>
  <si>
    <t>MCH4792</t>
  </si>
  <si>
    <t>TXN000437</t>
  </si>
  <si>
    <t>USR00051</t>
  </si>
  <si>
    <t>13:53:18</t>
  </si>
  <si>
    <t>MCH8754</t>
  </si>
  <si>
    <t>TXN000034</t>
  </si>
  <si>
    <t>USR00058</t>
  </si>
  <si>
    <t>17:28:56</t>
  </si>
  <si>
    <t>MCH3504</t>
  </si>
  <si>
    <t>TXN000061</t>
  </si>
  <si>
    <t>USR00073</t>
  </si>
  <si>
    <t>03:37:18</t>
  </si>
  <si>
    <t>MCH5591</t>
  </si>
  <si>
    <t>TXN000481</t>
  </si>
  <si>
    <t>USR00213</t>
  </si>
  <si>
    <t>05:13:35</t>
  </si>
  <si>
    <t>MCH8244</t>
  </si>
  <si>
    <t>TXN000172</t>
  </si>
  <si>
    <t>USR00193</t>
  </si>
  <si>
    <t>02:51:22</t>
  </si>
  <si>
    <t>MCH9790</t>
  </si>
  <si>
    <t>TXN000082</t>
  </si>
  <si>
    <t>10:47:22</t>
  </si>
  <si>
    <t>MCH3618</t>
  </si>
  <si>
    <t>TXN000028</t>
  </si>
  <si>
    <t>05:36:52</t>
  </si>
  <si>
    <t>MCH2625</t>
  </si>
  <si>
    <t>TXN000419</t>
  </si>
  <si>
    <t>17:42:18</t>
  </si>
  <si>
    <t>MCH2268</t>
  </si>
  <si>
    <t>TXN000201</t>
  </si>
  <si>
    <t>10:01:59</t>
  </si>
  <si>
    <t>MCH6450</t>
  </si>
  <si>
    <t>TXN000231</t>
  </si>
  <si>
    <t>22:52:25</t>
  </si>
  <si>
    <t>MCH2827</t>
  </si>
  <si>
    <t>TXN000199</t>
  </si>
  <si>
    <t>USR00132</t>
  </si>
  <si>
    <t>19:17:28</t>
  </si>
  <si>
    <t>MCH7401</t>
  </si>
  <si>
    <t>TXN000259</t>
  </si>
  <si>
    <t>18:42:57</t>
  </si>
  <si>
    <t>MCH4969</t>
  </si>
  <si>
    <t>TXN000250</t>
  </si>
  <si>
    <t>07:12:07</t>
  </si>
  <si>
    <t>TXN000077</t>
  </si>
  <si>
    <t>15:01:05</t>
  </si>
  <si>
    <t>MCH7169</t>
  </si>
  <si>
    <t>TXN000253</t>
  </si>
  <si>
    <t>02:23:16</t>
  </si>
  <si>
    <t>MCH5159</t>
  </si>
  <si>
    <t>TXN000383</t>
  </si>
  <si>
    <t>04:57:20</t>
  </si>
  <si>
    <t>MCH6573</t>
  </si>
  <si>
    <t>TXN000145</t>
  </si>
  <si>
    <t>02:21:05</t>
  </si>
  <si>
    <t>MCH6737</t>
  </si>
  <si>
    <t>TXN000288</t>
  </si>
  <si>
    <t>USR00087</t>
  </si>
  <si>
    <t>10:21:21</t>
  </si>
  <si>
    <t>TXN000245</t>
  </si>
  <si>
    <t>07:48:14</t>
  </si>
  <si>
    <t>MCH2404</t>
  </si>
  <si>
    <t>TXN000085</t>
  </si>
  <si>
    <t>12:20:22</t>
  </si>
  <si>
    <t>MCH6368</t>
  </si>
  <si>
    <t>TXN000095</t>
  </si>
  <si>
    <t>USR00221</t>
  </si>
  <si>
    <t>07:15:41</t>
  </si>
  <si>
    <t>MCH9095</t>
  </si>
  <si>
    <t>TXN000007</t>
  </si>
  <si>
    <t>01:34:36</t>
  </si>
  <si>
    <t>MCH4783</t>
  </si>
  <si>
    <t>TXN000321</t>
  </si>
  <si>
    <t>07:38:20</t>
  </si>
  <si>
    <t>MCH5654</t>
  </si>
  <si>
    <t>TXN000450</t>
  </si>
  <si>
    <t>11:56:10</t>
  </si>
  <si>
    <t>MCH8493</t>
  </si>
  <si>
    <t>TXN000372</t>
  </si>
  <si>
    <t>05:43:08</t>
  </si>
  <si>
    <t>MCH9718</t>
  </si>
  <si>
    <t>TXN000262</t>
  </si>
  <si>
    <t>USR00118</t>
  </si>
  <si>
    <t>09:37:46</t>
  </si>
  <si>
    <t>TXN000401</t>
  </si>
  <si>
    <t>USR00110</t>
  </si>
  <si>
    <t>15:47:50</t>
  </si>
  <si>
    <t>MCH3364</t>
  </si>
  <si>
    <t>TXN000343</t>
  </si>
  <si>
    <t>USR00082</t>
  </si>
  <si>
    <t>19:47:46</t>
  </si>
  <si>
    <t>MCH1297</t>
  </si>
  <si>
    <t>TXN000330</t>
  </si>
  <si>
    <t>17:18:30</t>
  </si>
  <si>
    <t>MCH8362</t>
  </si>
  <si>
    <t>TXN000217</t>
  </si>
  <si>
    <t>19:34:06</t>
  </si>
  <si>
    <t>MCH7785</t>
  </si>
  <si>
    <t>TXN000454</t>
  </si>
  <si>
    <t>USR00004</t>
  </si>
  <si>
    <t>02:11:27</t>
  </si>
  <si>
    <t>MCH3994</t>
  </si>
  <si>
    <t>TXN000309</t>
  </si>
  <si>
    <t>03:21:41</t>
  </si>
  <si>
    <t>MCH4178</t>
  </si>
  <si>
    <t>TXN000413</t>
  </si>
  <si>
    <t>USR00142</t>
  </si>
  <si>
    <t>07:57:27</t>
  </si>
  <si>
    <t>MCH1615</t>
  </si>
  <si>
    <t>TXN000344</t>
  </si>
  <si>
    <t>14:05:46</t>
  </si>
  <si>
    <t>MCH6856</t>
  </si>
  <si>
    <t>TXN000256</t>
  </si>
  <si>
    <t>13:35:10</t>
  </si>
  <si>
    <t>MCH9476</t>
  </si>
  <si>
    <t>TXN000040</t>
  </si>
  <si>
    <t>USR00059</t>
  </si>
  <si>
    <t>09:59:54</t>
  </si>
  <si>
    <t>MCH2587</t>
  </si>
  <si>
    <t>TXN000442</t>
  </si>
  <si>
    <t>USR00226</t>
  </si>
  <si>
    <t>12:33:03</t>
  </si>
  <si>
    <t>MCH7754</t>
  </si>
  <si>
    <t>TXN000459</t>
  </si>
  <si>
    <t>14:17:57</t>
  </si>
  <si>
    <t>MCH2644</t>
  </si>
  <si>
    <t>TXN000338</t>
  </si>
  <si>
    <t>00:17:51</t>
  </si>
  <si>
    <t>MCH3077</t>
  </si>
  <si>
    <t>TXN000359</t>
  </si>
  <si>
    <t>06:38:49</t>
  </si>
  <si>
    <t>MCH8240</t>
  </si>
  <si>
    <t>TXN000019</t>
  </si>
  <si>
    <t>10:36:46</t>
  </si>
  <si>
    <t>MCH1584</t>
  </si>
  <si>
    <t>TXN000117</t>
  </si>
  <si>
    <t>17:18:35</t>
  </si>
  <si>
    <t>MCH1961</t>
  </si>
  <si>
    <t>TXN000182</t>
  </si>
  <si>
    <t>15:06:51</t>
  </si>
  <si>
    <t>MCH3415</t>
  </si>
  <si>
    <t>TXN000128</t>
  </si>
  <si>
    <t>USR00015</t>
  </si>
  <si>
    <t>20:17:02</t>
  </si>
  <si>
    <t>MCH9849</t>
  </si>
  <si>
    <t>TXN000355</t>
  </si>
  <si>
    <t>04:28:36</t>
  </si>
  <si>
    <t>MCH6672</t>
  </si>
  <si>
    <t>TXN000109</t>
  </si>
  <si>
    <t>USR00206</t>
  </si>
  <si>
    <t>21:20:21</t>
  </si>
  <si>
    <t>MCH5827</t>
  </si>
  <si>
    <t>TXN000249</t>
  </si>
  <si>
    <t>00:22:36</t>
  </si>
  <si>
    <t>MCH6555</t>
  </si>
  <si>
    <t>TXN000464</t>
  </si>
  <si>
    <t>00:19:15</t>
  </si>
  <si>
    <t>MCH8269</t>
  </si>
  <si>
    <t>TXN000434</t>
  </si>
  <si>
    <t>04:31:59</t>
  </si>
  <si>
    <t>MCH5603</t>
  </si>
  <si>
    <t>TXN000329</t>
  </si>
  <si>
    <t>23:23:33</t>
  </si>
  <si>
    <t>MCH7636</t>
  </si>
  <si>
    <t>TXN000242</t>
  </si>
  <si>
    <t>07:20:27</t>
  </si>
  <si>
    <t>MCH7124</t>
  </si>
  <si>
    <t>TXN000399</t>
  </si>
  <si>
    <t>USR00146</t>
  </si>
  <si>
    <t>01:21:47</t>
  </si>
  <si>
    <t>MCH8148</t>
  </si>
  <si>
    <t>TXN000229</t>
  </si>
  <si>
    <t>16:34:48</t>
  </si>
  <si>
    <t>MCH1464</t>
  </si>
  <si>
    <t>TXN000021</t>
  </si>
  <si>
    <t>USR00150</t>
  </si>
  <si>
    <t>16:48:55</t>
  </si>
  <si>
    <t>MCH9551</t>
  </si>
  <si>
    <t>TXN000238</t>
  </si>
  <si>
    <t>16:55:08</t>
  </si>
  <si>
    <t>MCH7543</t>
  </si>
  <si>
    <t>TXN000168</t>
  </si>
  <si>
    <t>22:49:44</t>
  </si>
  <si>
    <t>MCH1972</t>
  </si>
  <si>
    <t>TXN000221</t>
  </si>
  <si>
    <t>USR00245</t>
  </si>
  <si>
    <t>20:53:37</t>
  </si>
  <si>
    <t>MCH5686</t>
  </si>
  <si>
    <t>TXN000376</t>
  </si>
  <si>
    <t>03:49:32</t>
  </si>
  <si>
    <t>MCH3669</t>
  </si>
  <si>
    <t>TXN000490</t>
  </si>
  <si>
    <t>USR00223</t>
  </si>
  <si>
    <t>19:44:06</t>
  </si>
  <si>
    <t>MCH2802</t>
  </si>
  <si>
    <t>TXN000146</t>
  </si>
  <si>
    <t>01:22:43</t>
  </si>
  <si>
    <t>MCH4217</t>
  </si>
  <si>
    <t>TXN000093</t>
  </si>
  <si>
    <t>20:51:45</t>
  </si>
  <si>
    <t>MCH2939</t>
  </si>
  <si>
    <t>TXN000153</t>
  </si>
  <si>
    <t>15:41:29</t>
  </si>
  <si>
    <t>MCH7519</t>
  </si>
  <si>
    <t>TXN000273</t>
  </si>
  <si>
    <t>USR00012</t>
  </si>
  <si>
    <t>15:31:31</t>
  </si>
  <si>
    <t>MCH8910</t>
  </si>
  <si>
    <t>TXN000107</t>
  </si>
  <si>
    <t>09:46:58</t>
  </si>
  <si>
    <t>MCH1807</t>
  </si>
  <si>
    <t>TXN000265</t>
  </si>
  <si>
    <t>08:01:14</t>
  </si>
  <si>
    <t>MCH1044</t>
  </si>
  <si>
    <t>TXN000131</t>
  </si>
  <si>
    <t>06:23:59</t>
  </si>
  <si>
    <t>MCH7715</t>
  </si>
  <si>
    <t>TXN000054</t>
  </si>
  <si>
    <t>USR00064</t>
  </si>
  <si>
    <t>04:40:25</t>
  </si>
  <si>
    <t>MCH3028</t>
  </si>
  <si>
    <t>TXN000045</t>
  </si>
  <si>
    <t>00:54:54</t>
  </si>
  <si>
    <t>MCH5647</t>
  </si>
  <si>
    <t>TXN000334</t>
  </si>
  <si>
    <t>05:52:30</t>
  </si>
  <si>
    <t>MCH3842</t>
  </si>
  <si>
    <t>TXN000475</t>
  </si>
  <si>
    <t>USR00095</t>
  </si>
  <si>
    <t>11:16:38</t>
  </si>
  <si>
    <t>MCH3035</t>
  </si>
  <si>
    <t>TXN000226</t>
  </si>
  <si>
    <t>17:44:20</t>
  </si>
  <si>
    <t>MCH1140</t>
  </si>
  <si>
    <t>TXN000237</t>
  </si>
  <si>
    <t>12:48:40</t>
  </si>
  <si>
    <t>MCH3843</t>
  </si>
  <si>
    <t>TXN000378</t>
  </si>
  <si>
    <t>17:31:55</t>
  </si>
  <si>
    <t>MCH4981</t>
  </si>
  <si>
    <t>TXN000204</t>
  </si>
  <si>
    <t>01:09:24</t>
  </si>
  <si>
    <t>TXN000060</t>
  </si>
  <si>
    <t>01:37:45</t>
  </si>
  <si>
    <t>MCH1165</t>
  </si>
  <si>
    <t>TXN000290</t>
  </si>
  <si>
    <t>USR00224</t>
  </si>
  <si>
    <t>12:17:01</t>
  </si>
  <si>
    <t>MCH2170</t>
  </si>
  <si>
    <t>TXN000063</t>
  </si>
  <si>
    <t>12:40:22</t>
  </si>
  <si>
    <t>MCH5524</t>
  </si>
  <si>
    <t>TXN000332</t>
  </si>
  <si>
    <t>18:21:23</t>
  </si>
  <si>
    <t>MCH1194</t>
  </si>
  <si>
    <t>TXN000179</t>
  </si>
  <si>
    <t>12:34:29</t>
  </si>
  <si>
    <t>MCH3971</t>
  </si>
  <si>
    <t>TXN000486</t>
  </si>
  <si>
    <t>05:22:21</t>
  </si>
  <si>
    <t>MCH7578</t>
  </si>
  <si>
    <t>TXN000431</t>
  </si>
  <si>
    <t>USR00022</t>
  </si>
  <si>
    <t>17:42:39</t>
  </si>
  <si>
    <t>MCH4861</t>
  </si>
  <si>
    <t>TXN000064</t>
  </si>
  <si>
    <t>18:44:10</t>
  </si>
  <si>
    <t>MCH3821</t>
  </si>
  <si>
    <t>TXN000495</t>
  </si>
  <si>
    <t>USR00174</t>
  </si>
  <si>
    <t>20:35:39</t>
  </si>
  <si>
    <t>TXN000122</t>
  </si>
  <si>
    <t>20:16:21</t>
  </si>
  <si>
    <t>MCH5198</t>
  </si>
  <si>
    <t>TXN000110</t>
  </si>
  <si>
    <t>08:25:08</t>
  </si>
  <si>
    <t>TXN000373</t>
  </si>
  <si>
    <t>12:35:55</t>
  </si>
  <si>
    <t>MCH3172</t>
  </si>
  <si>
    <t>TXN000247</t>
  </si>
  <si>
    <t>23:44:18</t>
  </si>
  <si>
    <t>MCH5290</t>
  </si>
  <si>
    <t>TXN000104</t>
  </si>
  <si>
    <t>USR00014</t>
  </si>
  <si>
    <t>19:03:53</t>
  </si>
  <si>
    <t>MCH2956</t>
  </si>
  <si>
    <t>TXN000480</t>
  </si>
  <si>
    <t>01:55:45</t>
  </si>
  <si>
    <t>MCH1298</t>
  </si>
  <si>
    <t>TXN000427</t>
  </si>
  <si>
    <t>17:41:59</t>
  </si>
  <si>
    <t>MCH7394</t>
  </si>
  <si>
    <t>TXN000451</t>
  </si>
  <si>
    <t>USR00061</t>
  </si>
  <si>
    <t>01:46:43</t>
  </si>
  <si>
    <t>MCH5103</t>
  </si>
  <si>
    <t>TXN000059</t>
  </si>
  <si>
    <t>08:10:03</t>
  </si>
  <si>
    <t>MCH9848</t>
  </si>
  <si>
    <t>TXN000482</t>
  </si>
  <si>
    <t>20:07:34</t>
  </si>
  <si>
    <t>MCH1923</t>
  </si>
  <si>
    <t>TXN000049</t>
  </si>
  <si>
    <t>16:11:26</t>
  </si>
  <si>
    <t>MCH2449</t>
  </si>
  <si>
    <t>TXN000207</t>
  </si>
  <si>
    <t>USR00029</t>
  </si>
  <si>
    <t>22:18:08</t>
  </si>
  <si>
    <t>MCH9378</t>
  </si>
  <si>
    <t>TXN000472</t>
  </si>
  <si>
    <t>20:34:56</t>
  </si>
  <si>
    <t>MCH3158</t>
  </si>
  <si>
    <t>TXN000010</t>
  </si>
  <si>
    <t>USR00122</t>
  </si>
  <si>
    <t>12:22:46</t>
  </si>
  <si>
    <t>MCH5668</t>
  </si>
  <si>
    <t>TXN000410</t>
  </si>
  <si>
    <t>07:20:14</t>
  </si>
  <si>
    <t>MCH4866</t>
  </si>
  <si>
    <t>TXN000048</t>
  </si>
  <si>
    <t>07:46:39</t>
  </si>
  <si>
    <t>MCH7837</t>
  </si>
  <si>
    <t>TXN000264</t>
  </si>
  <si>
    <t>07:39:24</t>
  </si>
  <si>
    <t>MCH4939</t>
  </si>
  <si>
    <t>TXN000157</t>
  </si>
  <si>
    <t>15:29:44</t>
  </si>
  <si>
    <t>MCH5906</t>
  </si>
  <si>
    <t>TXN000298</t>
  </si>
  <si>
    <t>06:43:46</t>
  </si>
  <si>
    <t>MCH2161</t>
  </si>
  <si>
    <t>TXN000216</t>
  </si>
  <si>
    <t>USR00066</t>
  </si>
  <si>
    <t>06:49:36</t>
  </si>
  <si>
    <t>MCH6877</t>
  </si>
  <si>
    <t>TXN000111</t>
  </si>
  <si>
    <t>14:09:23</t>
  </si>
  <si>
    <t>MCH3284</t>
  </si>
  <si>
    <t>TXN000097</t>
  </si>
  <si>
    <t>01:48:12</t>
  </si>
  <si>
    <t>MCH2895</t>
  </si>
  <si>
    <t>TXN000114</t>
  </si>
  <si>
    <t>04:03:49</t>
  </si>
  <si>
    <t>MCH5887</t>
  </si>
  <si>
    <t>TXN000152</t>
  </si>
  <si>
    <t>14:56:54</t>
  </si>
  <si>
    <t>MCH3671</t>
  </si>
  <si>
    <t>TXN000478</t>
  </si>
  <si>
    <t>18:32:05</t>
  </si>
  <si>
    <t>MCH4823</t>
  </si>
  <si>
    <t>TXN000396</t>
  </si>
  <si>
    <t>01:05:45</t>
  </si>
  <si>
    <t>MCH6581</t>
  </si>
  <si>
    <t>TXN000112</t>
  </si>
  <si>
    <t>09:07:23</t>
  </si>
  <si>
    <t>MCH6313</t>
  </si>
  <si>
    <t>TXN000181</t>
  </si>
  <si>
    <t>13:05:02</t>
  </si>
  <si>
    <t>MCH8415</t>
  </si>
  <si>
    <t>TXN000296</t>
  </si>
  <si>
    <t>23:02:53</t>
  </si>
  <si>
    <t>MCH5282</t>
  </si>
  <si>
    <t>TXN000402</t>
  </si>
  <si>
    <t>06:21:11</t>
  </si>
  <si>
    <t>MCH4629</t>
  </si>
  <si>
    <t>TXN000005</t>
  </si>
  <si>
    <t>USR00107</t>
  </si>
  <si>
    <t>19:01:38</t>
  </si>
  <si>
    <t>TXN000065</t>
  </si>
  <si>
    <t>00:23:53</t>
  </si>
  <si>
    <t>MCH7509</t>
  </si>
  <si>
    <t>TXN000358</t>
  </si>
  <si>
    <t>05:25:03</t>
  </si>
  <si>
    <t>MCH6543</t>
  </si>
  <si>
    <t>TXN000139</t>
  </si>
  <si>
    <t>USR00063</t>
  </si>
  <si>
    <t>03:12:48</t>
  </si>
  <si>
    <t>MCH3541</t>
  </si>
  <si>
    <t>TXN000484</t>
  </si>
  <si>
    <t>19:48:24</t>
  </si>
  <si>
    <t>MCH5306</t>
  </si>
  <si>
    <t>TXN000192</t>
  </si>
  <si>
    <t>USR00179</t>
  </si>
  <si>
    <t>08:05:24</t>
  </si>
  <si>
    <t>MCH2620</t>
  </si>
  <si>
    <t>TXN000050</t>
  </si>
  <si>
    <t>07:24:45</t>
  </si>
  <si>
    <t>MCH5500</t>
  </si>
  <si>
    <t>TXN000132</t>
  </si>
  <si>
    <t>USR00071</t>
  </si>
  <si>
    <t>13:18:03</t>
  </si>
  <si>
    <t>MCH5266</t>
  </si>
  <si>
    <t>TXN000258</t>
  </si>
  <si>
    <t>06:50:27</t>
  </si>
  <si>
    <t>MCH5926</t>
  </si>
  <si>
    <t>TXN000011</t>
  </si>
  <si>
    <t>USR00211</t>
  </si>
  <si>
    <t>10:09:02</t>
  </si>
  <si>
    <t>MCH5287</t>
  </si>
  <si>
    <t>TXN000278</t>
  </si>
  <si>
    <t>17:21:51</t>
  </si>
  <si>
    <t>MCH2311</t>
  </si>
  <si>
    <t>TXN000308</t>
  </si>
  <si>
    <t>12:08:51</t>
  </si>
  <si>
    <t>MCH1926</t>
  </si>
  <si>
    <t>TXN000062</t>
  </si>
  <si>
    <t>USR00167</t>
  </si>
  <si>
    <t>05:33:17</t>
  </si>
  <si>
    <t>MCH1589</t>
  </si>
  <si>
    <t>TXN000331</t>
  </si>
  <si>
    <t>18:48:45</t>
  </si>
  <si>
    <t>MCH1011</t>
  </si>
  <si>
    <t>TXN000023</t>
  </si>
  <si>
    <t>14:14:05</t>
  </si>
  <si>
    <t>MCH6898</t>
  </si>
  <si>
    <t>TXN000052</t>
  </si>
  <si>
    <t>USR00055</t>
  </si>
  <si>
    <t>18:30:15</t>
  </si>
  <si>
    <t>MCH5117</t>
  </si>
  <si>
    <t>TXN000307</t>
  </si>
  <si>
    <t>USR00123</t>
  </si>
  <si>
    <t>01:40:47</t>
  </si>
  <si>
    <t>MCH1244</t>
  </si>
  <si>
    <t>TXN000347</t>
  </si>
  <si>
    <t>15:04:56</t>
  </si>
  <si>
    <t>MCH9745</t>
  </si>
  <si>
    <t>TXN000346</t>
  </si>
  <si>
    <t>USR00011</t>
  </si>
  <si>
    <t>06:08:25</t>
  </si>
  <si>
    <t>MCH2384</t>
  </si>
  <si>
    <t>TXN000244</t>
  </si>
  <si>
    <t>07:58:21</t>
  </si>
  <si>
    <t>MCH4195</t>
  </si>
  <si>
    <t>TXN000305</t>
  </si>
  <si>
    <t>09:20:45</t>
  </si>
  <si>
    <t>MCH9207</t>
  </si>
  <si>
    <t>TXN000304</t>
  </si>
  <si>
    <t>USR00183</t>
  </si>
  <si>
    <t>09:33:42</t>
  </si>
  <si>
    <t>MCH1143</t>
  </si>
  <si>
    <t>TXN000008</t>
  </si>
  <si>
    <t>04:00:39</t>
  </si>
  <si>
    <t>MCH7646</t>
  </si>
  <si>
    <t>TXN000492</t>
  </si>
  <si>
    <t>22:56:59</t>
  </si>
  <si>
    <t>MCH4346</t>
  </si>
  <si>
    <t>TXN000163</t>
  </si>
  <si>
    <t>21:17:07</t>
  </si>
  <si>
    <t>MCH2216</t>
  </si>
  <si>
    <t>TXN000279</t>
  </si>
  <si>
    <t>19:20:43</t>
  </si>
  <si>
    <t>MCH9579</t>
  </si>
  <si>
    <t>TXN000274</t>
  </si>
  <si>
    <t>01:10:09</t>
  </si>
  <si>
    <t>MCH7382</t>
  </si>
  <si>
    <t>TXN000261</t>
  </si>
  <si>
    <t>21:31:07</t>
  </si>
  <si>
    <t>MCH5319</t>
  </si>
  <si>
    <t>TXN000438</t>
  </si>
  <si>
    <t>USR00182</t>
  </si>
  <si>
    <t>08:11:10</t>
  </si>
  <si>
    <t>MCH5078</t>
  </si>
  <si>
    <t>TXN000282</t>
  </si>
  <si>
    <t>22:38:48</t>
  </si>
  <si>
    <t>MCH7781</t>
  </si>
  <si>
    <t>TXN000004</t>
  </si>
  <si>
    <t>13:55:38</t>
  </si>
  <si>
    <t>MCH5440</t>
  </si>
  <si>
    <t>TXN000180</t>
  </si>
  <si>
    <t>23:41:29</t>
  </si>
  <si>
    <t>MCH3017</t>
  </si>
  <si>
    <t>TXN000377</t>
  </si>
  <si>
    <t>06:05:14</t>
  </si>
  <si>
    <t>MCH8825</t>
  </si>
  <si>
    <t>TXN000356</t>
  </si>
  <si>
    <t>USR00007</t>
  </si>
  <si>
    <t>19:48:20</t>
  </si>
  <si>
    <t>MCH6593</t>
  </si>
  <si>
    <t>TXN000083</t>
  </si>
  <si>
    <t>05:45:49</t>
  </si>
  <si>
    <t>MCH7289</t>
  </si>
  <si>
    <t>TXN000462</t>
  </si>
  <si>
    <t>04:43:10</t>
  </si>
  <si>
    <t>MCH5085</t>
  </si>
  <si>
    <t>TXN000075</t>
  </si>
  <si>
    <t>13:08:02</t>
  </si>
  <si>
    <t>MCH8384</t>
  </si>
  <si>
    <t>TXN000032</t>
  </si>
  <si>
    <t>17:23:58</t>
  </si>
  <si>
    <t>MCH9923</t>
  </si>
  <si>
    <t>TXN000479</t>
  </si>
  <si>
    <t>22:58:26</t>
  </si>
  <si>
    <t>MCH7770</t>
  </si>
  <si>
    <t>TXN000086</t>
  </si>
  <si>
    <t>USR00050</t>
  </si>
  <si>
    <t>10:54:15</t>
  </si>
  <si>
    <t>MCH5621</t>
  </si>
  <si>
    <t>TXN000220</t>
  </si>
  <si>
    <t>USR00185</t>
  </si>
  <si>
    <t>22:01:26</t>
  </si>
  <si>
    <t>MCH3330</t>
  </si>
  <si>
    <t>TXN000418</t>
  </si>
  <si>
    <t>06:51:22</t>
  </si>
  <si>
    <t>MCH1864</t>
  </si>
  <si>
    <t>TXN000497</t>
  </si>
  <si>
    <t>USR00114</t>
  </si>
  <si>
    <t>00:55:51</t>
  </si>
  <si>
    <t>MCH9105</t>
  </si>
  <si>
    <t>TXN000440</t>
  </si>
  <si>
    <t>00:44:54</t>
  </si>
  <si>
    <t>TXN000354</t>
  </si>
  <si>
    <t>13:25:50</t>
  </si>
  <si>
    <t>MCH7897</t>
  </si>
  <si>
    <t>TXN000167</t>
  </si>
  <si>
    <t>13:35:32</t>
  </si>
  <si>
    <t>MCH9970</t>
  </si>
  <si>
    <t>TXN000426</t>
  </si>
  <si>
    <t>15:45:39</t>
  </si>
  <si>
    <t>MCH1935</t>
  </si>
  <si>
    <t>TXN000029</t>
  </si>
  <si>
    <t>04:32:48</t>
  </si>
  <si>
    <t>MCH1890</t>
  </si>
  <si>
    <t>TXN000088</t>
  </si>
  <si>
    <t>14:24:35</t>
  </si>
  <si>
    <t>TXN000056</t>
  </si>
  <si>
    <t>08:32:40</t>
  </si>
  <si>
    <t>MCH4758</t>
  </si>
  <si>
    <t>TXN000293</t>
  </si>
  <si>
    <t>18:22:23</t>
  </si>
  <si>
    <t>TXN000190</t>
  </si>
  <si>
    <t>15:53:45</t>
  </si>
  <si>
    <t>MCH8905</t>
  </si>
  <si>
    <t>TXN000079</t>
  </si>
  <si>
    <t>11:04:33</t>
  </si>
  <si>
    <t>MCH1985</t>
  </si>
  <si>
    <t>TXN000391</t>
  </si>
  <si>
    <t>06:21:54</t>
  </si>
  <si>
    <t>MCH9671</t>
  </si>
  <si>
    <t>TXN000457</t>
  </si>
  <si>
    <t>20:34:51</t>
  </si>
  <si>
    <t>MCH8531</t>
  </si>
  <si>
    <t>TXN000257</t>
  </si>
  <si>
    <t>19:14:18</t>
  </si>
  <si>
    <t>MCH5933</t>
  </si>
  <si>
    <t>TXN000439</t>
  </si>
  <si>
    <t>USR00008</t>
  </si>
  <si>
    <t>13:54:15</t>
  </si>
  <si>
    <t>MCH2367</t>
  </si>
  <si>
    <t>TXN000315</t>
  </si>
  <si>
    <t>05:55:18</t>
  </si>
  <si>
    <t>MCH9497</t>
  </si>
  <si>
    <t>TXN000436</t>
  </si>
  <si>
    <t>USR00109</t>
  </si>
  <si>
    <t>03:29:05</t>
  </si>
  <si>
    <t>MCH9832</t>
  </si>
  <si>
    <t>TXN000367</t>
  </si>
  <si>
    <t>USR00140</t>
  </si>
  <si>
    <t>21:27:06</t>
  </si>
  <si>
    <t>MCH5155</t>
  </si>
  <si>
    <t>TXN000103</t>
  </si>
  <si>
    <t>09:55:35</t>
  </si>
  <si>
    <t>MCH8331</t>
  </si>
  <si>
    <t>TXN000044</t>
  </si>
  <si>
    <t>21:46:33</t>
  </si>
  <si>
    <t>MCH9469</t>
  </si>
  <si>
    <t>TXN000446</t>
  </si>
  <si>
    <t>19:33:25</t>
  </si>
  <si>
    <t>MCH4966</t>
  </si>
  <si>
    <t>TXN000108</t>
  </si>
  <si>
    <t>12:54:21</t>
  </si>
  <si>
    <t>TXN000206</t>
  </si>
  <si>
    <t>USR00171</t>
  </si>
  <si>
    <t>23:14:08</t>
  </si>
  <si>
    <t>MCH2012</t>
  </si>
  <si>
    <t>TXN000414</t>
  </si>
  <si>
    <t>16:01:24</t>
  </si>
  <si>
    <t>MCH7911</t>
  </si>
  <si>
    <t>TXN000018</t>
  </si>
  <si>
    <t>19:27:56</t>
  </si>
  <si>
    <t>MCH4932</t>
  </si>
  <si>
    <t>TXN000325</t>
  </si>
  <si>
    <t>22:06:03</t>
  </si>
  <si>
    <t>MCH6505</t>
  </si>
  <si>
    <t>TXN000161</t>
  </si>
  <si>
    <t>11:00:56</t>
  </si>
  <si>
    <t>MCH1725</t>
  </si>
  <si>
    <t>TXN000393</t>
  </si>
  <si>
    <t>USR00227</t>
  </si>
  <si>
    <t>01:27:57</t>
  </si>
  <si>
    <t>MCH5218</t>
  </si>
  <si>
    <t>TXN000058</t>
  </si>
  <si>
    <t>20:12:30</t>
  </si>
  <si>
    <t>MCH5624</t>
  </si>
  <si>
    <t>TXN000169</t>
  </si>
  <si>
    <t>01:40:20</t>
  </si>
  <si>
    <t>MCH6634</t>
  </si>
  <si>
    <t>TXN000408</t>
  </si>
  <si>
    <t>USR00169</t>
  </si>
  <si>
    <t>03:45:51</t>
  </si>
  <si>
    <t>MCH1609</t>
  </si>
  <si>
    <t>TXN000406</t>
  </si>
  <si>
    <t>16:31:06</t>
  </si>
  <si>
    <t>MCH7638</t>
  </si>
  <si>
    <t>TXN000337</t>
  </si>
  <si>
    <t>22:48:54</t>
  </si>
  <si>
    <t>MCH8984</t>
  </si>
  <si>
    <t>TXN000087</t>
  </si>
  <si>
    <t>14:52:59</t>
  </si>
  <si>
    <t>MCH8566</t>
  </si>
  <si>
    <t>TXN000239</t>
  </si>
  <si>
    <t>08:00:01</t>
  </si>
  <si>
    <t>MCH6901</t>
  </si>
  <si>
    <t>TXN000303</t>
  </si>
  <si>
    <t>03:39:34</t>
  </si>
  <si>
    <t>MCH6983</t>
  </si>
  <si>
    <t>TXN000348</t>
  </si>
  <si>
    <t>19:09:49</t>
  </si>
  <si>
    <t>MCH3350</t>
  </si>
  <si>
    <t>TXN000141</t>
  </si>
  <si>
    <t>11:26:31</t>
  </si>
  <si>
    <t>MCH4075</t>
  </si>
  <si>
    <t>TXN000173</t>
  </si>
  <si>
    <t>03:17:54</t>
  </si>
  <si>
    <t>MCH1224</t>
  </si>
  <si>
    <t>TXN000073</t>
  </si>
  <si>
    <t>02:07:45</t>
  </si>
  <si>
    <t>TXN000248</t>
  </si>
  <si>
    <t>04:31:43</t>
  </si>
  <si>
    <t>MCH4982</t>
  </si>
  <si>
    <t>TXN000235</t>
  </si>
  <si>
    <t>19:28:37</t>
  </si>
  <si>
    <t>MCH5815</t>
  </si>
  <si>
    <t>TXN000156</t>
  </si>
  <si>
    <t>07:19:02</t>
  </si>
  <si>
    <t>MCH4722</t>
  </si>
  <si>
    <t>TXN000403</t>
  </si>
  <si>
    <t>USR00194</t>
  </si>
  <si>
    <t>23:46:39</t>
  </si>
  <si>
    <t>MCH6919</t>
  </si>
  <si>
    <t>TXN000017</t>
  </si>
  <si>
    <t>USR00100</t>
  </si>
  <si>
    <t>00:56:53</t>
  </si>
  <si>
    <t>TXN000135</t>
  </si>
  <si>
    <t>03:39:36</t>
  </si>
  <si>
    <t>MCH3710</t>
  </si>
  <si>
    <t>TXN000105</t>
  </si>
  <si>
    <t>06:53:00</t>
  </si>
  <si>
    <t>MCH8023</t>
  </si>
  <si>
    <t>TXN000147</t>
  </si>
  <si>
    <t>01:37:16</t>
  </si>
  <si>
    <t>MCH2447</t>
  </si>
  <si>
    <t>TXN000456</t>
  </si>
  <si>
    <t>23:25:32</t>
  </si>
  <si>
    <t>MCH6594</t>
  </si>
  <si>
    <t>TXN000092</t>
  </si>
  <si>
    <t>USR00106</t>
  </si>
  <si>
    <t>13:03:47</t>
  </si>
  <si>
    <t>MCH3466</t>
  </si>
  <si>
    <t>TXN000499</t>
  </si>
  <si>
    <t>02:40:58</t>
  </si>
  <si>
    <t>MCH6696</t>
  </si>
  <si>
    <t>TXN000477</t>
  </si>
  <si>
    <t>12:14:17</t>
  </si>
  <si>
    <t>MCH1857</t>
  </si>
  <si>
    <t>TXN000241</t>
  </si>
  <si>
    <t>09:49:57</t>
  </si>
  <si>
    <t>MCH2094</t>
  </si>
  <si>
    <t>TXN000012</t>
  </si>
  <si>
    <t>21:13:15</t>
  </si>
  <si>
    <t>MCH3052</t>
  </si>
  <si>
    <t>TXN000184</t>
  </si>
  <si>
    <t>20:34:01</t>
  </si>
  <si>
    <t>MCH2609</t>
  </si>
  <si>
    <t>TXN000289</t>
  </si>
  <si>
    <t>10:24:21</t>
  </si>
  <si>
    <t>MCH5675</t>
  </si>
  <si>
    <t>TXN000349</t>
  </si>
  <si>
    <t>02:12:42</t>
  </si>
  <si>
    <t>MCH2269</t>
  </si>
  <si>
    <t>TXN000125</t>
  </si>
  <si>
    <t>10:09:08</t>
  </si>
  <si>
    <t>MCH8119</t>
  </si>
  <si>
    <t>TXN000067</t>
  </si>
  <si>
    <t>14:00:11</t>
  </si>
  <si>
    <t>MCH1071</t>
  </si>
  <si>
    <t>TXN000333</t>
  </si>
  <si>
    <t>12:11:29</t>
  </si>
  <si>
    <t>MCH3537</t>
  </si>
  <si>
    <t>TXN000080</t>
  </si>
  <si>
    <t>MCH5485</t>
  </si>
  <si>
    <t>TXN000232</t>
  </si>
  <si>
    <t>03:33:51</t>
  </si>
  <si>
    <t>MCH9711</t>
  </si>
  <si>
    <t>TXN000340</t>
  </si>
  <si>
    <t>USR00168</t>
  </si>
  <si>
    <t>14:10:56</t>
  </si>
  <si>
    <t>MCH4867</t>
  </si>
  <si>
    <t>TXN000089</t>
  </si>
  <si>
    <t>10:50:14</t>
  </si>
  <si>
    <t>MCH8658</t>
  </si>
  <si>
    <t>TXN000195</t>
  </si>
  <si>
    <t>03:24:14</t>
  </si>
  <si>
    <t>MCH5780</t>
  </si>
  <si>
    <t>TXN000178</t>
  </si>
  <si>
    <t>USR00001</t>
  </si>
  <si>
    <t>09:37:17</t>
  </si>
  <si>
    <t>MCH3931</t>
  </si>
  <si>
    <t>TXN000405</t>
  </si>
  <si>
    <t>09:34:50</t>
  </si>
  <si>
    <t>MCH9872</t>
  </si>
  <si>
    <t>TXN000170</t>
  </si>
  <si>
    <t>USR00219</t>
  </si>
  <si>
    <t>01:26:56</t>
  </si>
  <si>
    <t>MCH8483</t>
  </si>
  <si>
    <t>TXN000322</t>
  </si>
  <si>
    <t>09:37:45</t>
  </si>
  <si>
    <t>MCH6300</t>
  </si>
  <si>
    <t>TXN000101</t>
  </si>
  <si>
    <t>USR00202</t>
  </si>
  <si>
    <t>12:30:06</t>
  </si>
  <si>
    <t>MCH3402</t>
  </si>
  <si>
    <t>TXN000039</t>
  </si>
  <si>
    <t>19:15:49</t>
  </si>
  <si>
    <t>MCH7686</t>
  </si>
  <si>
    <t>TXN000458</t>
  </si>
  <si>
    <t>USR00017</t>
  </si>
  <si>
    <t>01:40:50</t>
  </si>
  <si>
    <t>MCH8371</t>
  </si>
  <si>
    <t>TXN000445</t>
  </si>
  <si>
    <t>02:32:03</t>
  </si>
  <si>
    <t>MCH3240</t>
  </si>
  <si>
    <t>TXN000246</t>
  </si>
  <si>
    <t>16:59:22</t>
  </si>
  <si>
    <t>MCH7940</t>
  </si>
  <si>
    <t>TXN000187</t>
  </si>
  <si>
    <t>09:24:01</t>
  </si>
  <si>
    <t>MCH7782</t>
  </si>
  <si>
    <t>TXN000455</t>
  </si>
  <si>
    <t>15:20:27</t>
  </si>
  <si>
    <t>MCH4744</t>
  </si>
  <si>
    <t>TXN000374</t>
  </si>
  <si>
    <t>10:19:17</t>
  </si>
  <si>
    <t>MCH1279</t>
  </si>
  <si>
    <t>TXN000230</t>
  </si>
  <si>
    <t>10:20:51</t>
  </si>
  <si>
    <t>MCH5471</t>
  </si>
  <si>
    <t>TXN000474</t>
  </si>
  <si>
    <t>USR00181</t>
  </si>
  <si>
    <t>19:13:35</t>
  </si>
  <si>
    <t>MCH5039</t>
  </si>
  <si>
    <t>TXN000176</t>
  </si>
  <si>
    <t>04:51:41</t>
  </si>
  <si>
    <t>MCH1124</t>
  </si>
  <si>
    <t>TXN000491</t>
  </si>
  <si>
    <t>13:08:58</t>
  </si>
  <si>
    <t>MCH3657</t>
  </si>
  <si>
    <t>TXN000215</t>
  </si>
  <si>
    <t>03:59:37</t>
  </si>
  <si>
    <t>MCH1075</t>
  </si>
  <si>
    <t>TXN000432</t>
  </si>
  <si>
    <t>USR00238</t>
  </si>
  <si>
    <t>05:32:27</t>
  </si>
  <si>
    <t>MCH2985</t>
  </si>
  <si>
    <t>TXN000198</t>
  </si>
  <si>
    <t>12:30:13</t>
  </si>
  <si>
    <t>MCH6695</t>
  </si>
  <si>
    <t>TXN000294</t>
  </si>
  <si>
    <t>USR00126</t>
  </si>
  <si>
    <t>11:12:21</t>
  </si>
  <si>
    <t>MCH1287</t>
  </si>
  <si>
    <t>TXN000137</t>
  </si>
  <si>
    <t>08:07:32</t>
  </si>
  <si>
    <t>MCH9069</t>
  </si>
  <si>
    <t>TXN000066</t>
  </si>
  <si>
    <t>06:24:20</t>
  </si>
  <si>
    <t>MCH8693</t>
  </si>
  <si>
    <t>TXN000385</t>
  </si>
  <si>
    <t>22:25:36</t>
  </si>
  <si>
    <t>MCH8189</t>
  </si>
  <si>
    <t>TXN000398</t>
  </si>
  <si>
    <t>09:20:04</t>
  </si>
  <si>
    <t>MCH4789</t>
  </si>
  <si>
    <t>TXN000228</t>
  </si>
  <si>
    <t>12:31:35</t>
  </si>
  <si>
    <t>MCH1016</t>
  </si>
  <si>
    <t>TXN000392</t>
  </si>
  <si>
    <t>00:16:23</t>
  </si>
  <si>
    <t>MCH9044</t>
  </si>
  <si>
    <t>TXN000447</t>
  </si>
  <si>
    <t>04:34:27</t>
  </si>
  <si>
    <t>MCH8604</t>
  </si>
  <si>
    <t>TXN000420</t>
  </si>
  <si>
    <t>04:50:10</t>
  </si>
  <si>
    <t>MCH8454</t>
  </si>
  <si>
    <t>TXN000193</t>
  </si>
  <si>
    <t>12:52:33</t>
  </si>
  <si>
    <t>MCH7548</t>
  </si>
  <si>
    <t>TXN000211</t>
  </si>
  <si>
    <t>00:03:03</t>
  </si>
  <si>
    <t>MCH9622</t>
  </si>
  <si>
    <t>TXN000035</t>
  </si>
  <si>
    <t>06:30:55</t>
  </si>
  <si>
    <t>MCH9806</t>
  </si>
  <si>
    <t>TXN000465</t>
  </si>
  <si>
    <t>USR00006</t>
  </si>
  <si>
    <t>01:01:34</t>
  </si>
  <si>
    <t>MCH8130</t>
  </si>
  <si>
    <t>TXN000233</t>
  </si>
  <si>
    <t>15:59:17</t>
  </si>
  <si>
    <t>MCH6956</t>
  </si>
  <si>
    <t>TXN000001</t>
  </si>
  <si>
    <t>22:36:04</t>
  </si>
  <si>
    <t>MCH3773</t>
  </si>
  <si>
    <t>Net_Profit</t>
  </si>
  <si>
    <t>Ios</t>
  </si>
  <si>
    <t>N/A</t>
  </si>
  <si>
    <t>1. Calculate the total transaction amount processed across all transactions in 2025.</t>
  </si>
  <si>
    <t>Total Transaction Amount</t>
  </si>
  <si>
    <t>2. Find the total fraud loss amount for transactions where Fraud_Flag = "YES".</t>
  </si>
  <si>
    <t>Total Fraud Loss</t>
  </si>
  <si>
    <t>3. Count how many transactions were Failed.</t>
  </si>
  <si>
    <t>Total Failed Transactions</t>
  </si>
  <si>
    <t>4. Calculate the average transaction amount for Premium users only.</t>
  </si>
  <si>
    <t>Average Transaction (Premium Users)</t>
  </si>
  <si>
    <t>5. Using a Merchant reference table, retrieve the Merchant Category for each Merchant_ID.</t>
  </si>
  <si>
    <t>6. From a User Risk Reference Table, retrieve the Risk Category (Low / Medium / High) for each transaction based on the user’s User_ID.</t>
  </si>
  <si>
    <t>Risk_Category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</si>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</sst>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yyyy/mm/dd;@"/>
    <numFmt numFmtId="165" formatCode="0.00_);[Red]\(0.00\)"/>
    <numFmt numFmtId="166" formatCode="yyyy/mm/dd\ hh:mm:ss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theme="8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2" xfId="0" applyFont="1" applyBorder="1" applyAlignment="1">
      <alignment horizontal="center" vertical="top"/>
    </xf>
    <xf numFmtId="164" fontId="0" fillId="0" borderId="0" xfId="0" applyNumberFormat="1"/>
    <xf numFmtId="2" fontId="4" fillId="0" borderId="2" xfId="0" applyNumberFormat="1" applyFont="1" applyBorder="1" applyAlignment="1">
      <alignment horizontal="center" vertical="top"/>
    </xf>
    <xf numFmtId="0" fontId="5" fillId="0" borderId="0" xfId="0" applyFont="1"/>
    <xf numFmtId="165" fontId="0" fillId="0" borderId="0" xfId="0" applyNumberFormat="1"/>
    <xf numFmtId="0" fontId="6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0" borderId="1" xfId="0" applyBorder="1"/>
    <xf numFmtId="0" fontId="7" fillId="3" borderId="1" xfId="0" applyFont="1" applyFill="1" applyBorder="1"/>
    <xf numFmtId="2" fontId="0" fillId="0" borderId="1" xfId="0" applyNumberFormat="1" applyBorder="1"/>
    <xf numFmtId="0" fontId="2" fillId="4" borderId="0" xfId="0" applyFont="1" applyFill="1"/>
    <xf numFmtId="0" fontId="2" fillId="0" borderId="0" xfId="0" applyFont="1"/>
    <xf numFmtId="0" fontId="8" fillId="2" borderId="2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3" borderId="1" xfId="0" applyFont="1" applyFill="1" applyBorder="1"/>
    <xf numFmtId="0" fontId="8" fillId="0" borderId="2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/>
    <xf numFmtId="2" fontId="1" fillId="0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6" borderId="0" xfId="0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>
          <bgColor rgb="FFFFFF99"/>
        </patternFill>
      </fill>
    </dxf>
    <dxf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medium">
          <color theme="1"/>
        </top>
      </border>
    </dxf>
    <dxf>
      <fill>
        <patternFill patternType="solid">
          <fgColor rgb="FFFF0066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8"/>
          <bgColor theme="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0_);[Red]\(0.00\)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[$-14009]yyyy/mm/dd;@"/>
    </dxf>
    <dxf>
      <numFmt numFmtId="2" formatCode="0.00"/>
    </dxf>
    <dxf>
      <numFmt numFmtId="166" formatCode="yyyy/mm/dd\ hh:mm:ss"/>
    </dxf>
    <dxf>
      <numFmt numFmtId="2" formatCode="0.00"/>
    </dxf>
  </dxfs>
  <tableStyles count="0" defaultTableStyle="TableStyleMedium2" defaultPivotStyle="PivotStyleLight16"/>
  <colors>
    <mruColors>
      <color rgb="FFFF00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 Digital Payments &amp; Fraud Analysis.xlsx]Tables!PivotTable1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Fraud (Merchant Category)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Tables!$B$24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6C-4DDF-B7DD-293D4731BA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6C-4DDF-B7DD-293D4731BA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6C-4DDF-B7DD-293D4731BA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6C-4DDF-B7DD-293D4731BA9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6C-4DDF-B7DD-293D4731BA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Tables!$A$25:$A$35</c:f>
              <c:multiLvlStrCache>
                <c:ptCount val="5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</c:lvl>
                <c:lvl>
                  <c:pt idx="0">
                    <c:v>Entertainment</c:v>
                  </c:pt>
                  <c:pt idx="1">
                    <c:v>Food</c:v>
                  </c:pt>
                  <c:pt idx="2">
                    <c:v>Health</c:v>
                  </c:pt>
                  <c:pt idx="3">
                    <c:v>Travel</c:v>
                  </c:pt>
                  <c:pt idx="4">
                    <c:v>Utilities</c:v>
                  </c:pt>
                </c:lvl>
              </c:multiLvlStrCache>
            </c:multiLvlStrRef>
          </c:cat>
          <c:val>
            <c:numRef>
              <c:f>Tables!$B$25:$B$35</c:f>
              <c:numCache>
                <c:formatCode>General</c:formatCode>
                <c:ptCount val="5"/>
                <c:pt idx="0">
                  <c:v>134033.52577183786</c:v>
                </c:pt>
                <c:pt idx="1">
                  <c:v>68878.573880369993</c:v>
                </c:pt>
                <c:pt idx="2">
                  <c:v>74734.051499245892</c:v>
                </c:pt>
                <c:pt idx="3">
                  <c:v>41431.977788215758</c:v>
                </c:pt>
                <c:pt idx="4">
                  <c:v>158849.3552414088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6C-4DDF-B7DD-293D4731BA9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60167714884693"/>
          <c:y val="0.23424506147257909"/>
          <c:w val="0.2279874213836478"/>
          <c:h val="0.55664013658211753"/>
        </c:manualLayout>
      </c:layout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 Digital Payments &amp; Fraud Analysis.xlsx]Tables!PivotTable2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Fraud (Device)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5016501650165E-2"/>
              <c:y val="-4.94159928122192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Tables!$E$24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A7-481F-8B27-441411D67B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A7-481F-8B27-441411D67B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A7-481F-8B27-441411D67B1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A7-481F-8B27-441411D67B1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A7-481F-8B27-441411D67B1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EA7-481F-8B27-441411D67B1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EA7-481F-8B27-441411D67B1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EA7-481F-8B27-441411D67B18}"/>
              </c:ext>
            </c:extLst>
          </c:dPt>
          <c:dLbls>
            <c:dLbl>
              <c:idx val="2"/>
              <c:layout>
                <c:manualLayout>
                  <c:x val="1.65016501650165E-2"/>
                  <c:y val="-4.941599281221922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A7-481F-8B27-441411D67B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Tables!$D$25:$D$31</c:f>
              <c:multiLvlStrCache>
                <c:ptCount val="3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</c:lvl>
                <c:lvl>
                  <c:pt idx="0">
                    <c:v>Android</c:v>
                  </c:pt>
                  <c:pt idx="1">
                    <c:v>Ios</c:v>
                  </c:pt>
                  <c:pt idx="2">
                    <c:v>Web</c:v>
                  </c:pt>
                </c:lvl>
              </c:multiLvlStrCache>
            </c:multiLvlStrRef>
          </c:cat>
          <c:val>
            <c:numRef>
              <c:f>Tables!$E$25:$E$31</c:f>
              <c:numCache>
                <c:formatCode>General</c:formatCode>
                <c:ptCount val="3"/>
                <c:pt idx="0">
                  <c:v>3103862.7710502907</c:v>
                </c:pt>
                <c:pt idx="1">
                  <c:v>3652602.9909128924</c:v>
                </c:pt>
                <c:pt idx="2">
                  <c:v>4035461.3633457772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A7-481F-8B27-441411D67B1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79097909790985"/>
          <c:y val="0.2994619776301547"/>
          <c:w val="0.19870737073707373"/>
          <c:h val="0.47982716783043627"/>
        </c:manualLayout>
      </c:layout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 Digital Payments &amp; Fraud Analysis.xlsx]Tables!PivotTable3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Fraud (City)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Tables!$H$24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Tables!$G$25:$G$45</c:f>
              <c:multiLvlStrCache>
                <c:ptCount val="10"/>
                <c:lvl>
                  <c:pt idx="0">
                    <c:v>Yes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Yes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</c:lvl>
                <c:lvl>
                  <c:pt idx="0">
                    <c:v>Ahmedabad</c:v>
                  </c:pt>
                  <c:pt idx="1">
                    <c:v>Bangalore</c:v>
                  </c:pt>
                  <c:pt idx="2">
                    <c:v>Bhātpāra</c:v>
                  </c:pt>
                  <c:pt idx="3">
                    <c:v>Chennai</c:v>
                  </c:pt>
                  <c:pt idx="4">
                    <c:v>Delhi</c:v>
                  </c:pt>
                  <c:pt idx="5">
                    <c:v>Hyderabad</c:v>
                  </c:pt>
                  <c:pt idx="6">
                    <c:v>Jaipur</c:v>
                  </c:pt>
                  <c:pt idx="7">
                    <c:v>Kolkata</c:v>
                  </c:pt>
                  <c:pt idx="8">
                    <c:v>Mumbai</c:v>
                  </c:pt>
                  <c:pt idx="9">
                    <c:v>Pune</c:v>
                  </c:pt>
                </c:lvl>
              </c:multiLvlStrCache>
            </c:multiLvlStrRef>
          </c:cat>
          <c:val>
            <c:numRef>
              <c:f>Tables!$H$25:$H$45</c:f>
              <c:numCache>
                <c:formatCode>0.00</c:formatCode>
                <c:ptCount val="10"/>
                <c:pt idx="0">
                  <c:v>339699.29289788194</c:v>
                </c:pt>
                <c:pt idx="1">
                  <c:v>1830308.918930589</c:v>
                </c:pt>
                <c:pt idx="2">
                  <c:v>888026.45214296016</c:v>
                </c:pt>
                <c:pt idx="3">
                  <c:v>571433.03509769076</c:v>
                </c:pt>
                <c:pt idx="4">
                  <c:v>855420.6554134161</c:v>
                </c:pt>
                <c:pt idx="5">
                  <c:v>722884.26187883806</c:v>
                </c:pt>
                <c:pt idx="6">
                  <c:v>835195.79646409012</c:v>
                </c:pt>
                <c:pt idx="7">
                  <c:v>1774379.719428753</c:v>
                </c:pt>
                <c:pt idx="8">
                  <c:v>2178232.6902245386</c:v>
                </c:pt>
                <c:pt idx="9">
                  <c:v>862734.24158047116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7F-4925-A88A-2CC8A13E27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2744960"/>
        <c:axId val="1452760320"/>
      </c:barChart>
      <c:catAx>
        <c:axId val="14527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60320"/>
        <c:auto val="1"/>
        <c:lblAlgn val="ctr"/>
        <c:lblOffset val="100"/>
        <c:noMultiLvlLbl val="0"/>
      </c:catAx>
      <c:valAx>
        <c:axId val="14527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4496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365760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C72D7-8C15-4FBB-BB17-A70AEA945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403860</xdr:colOff>
      <xdr:row>0</xdr:row>
      <xdr:rowOff>0</xdr:rowOff>
    </xdr:from>
    <xdr:to>
      <xdr:col>14</xdr:col>
      <xdr:colOff>297180</xdr:colOff>
      <xdr:row>13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C3E272-6D35-4DD2-9E18-7266EBE09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99060</xdr:rowOff>
    </xdr:from>
    <xdr:to>
      <xdr:col>14</xdr:col>
      <xdr:colOff>289560</xdr:colOff>
      <xdr:row>28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C66940-9DD4-429A-A0E8-14CB2B601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ubhradeep Das" refreshedDate="46063.439645023151" createdVersion="5" refreshedVersion="8" minRefreshableVersion="3" recordCount="0" supportSubquery="1" supportAdvancedDrill="1" xr:uid="{0AB6875F-0E1B-4365-8682-F3E68E5313B6}">
  <cacheSource type="external" connectionId="1"/>
  <cacheFields count="3">
    <cacheField name="[Table3].[Fraud_Flag].[Fraud_Flag]" caption="Fraud_Flag" numFmtId="0" hierarchy="25" level="1">
      <sharedItems count="1">
        <s v="Yes"/>
      </sharedItems>
    </cacheField>
    <cacheField name="[Table6].[Merchant_Category].[Merchant_Category]" caption="Merchant_Category" numFmtId="0" hierarchy="30" level="1">
      <sharedItems count="5">
        <s v="Entertainment"/>
        <s v="Food"/>
        <s v="Health"/>
        <s v="Travel"/>
        <s v="Utilities"/>
      </sharedItems>
    </cacheField>
    <cacheField name="[Measures].[Sum of Amount]" caption="Sum of Amount" numFmtId="0" hierarchy="36" level="32767"/>
  </cacheFields>
  <cacheHierarchies count="38">
    <cacheHierarchy uniqueName="[Table13].[Transaction_ID]" caption="Transaction_ID" attribute="1" defaultMemberUniqueName="[Table13].[Transaction_ID].[All]" allUniqueName="[Table13].[Transaction_ID].[All]" dimensionUniqueName="[Table13]" displayFolder="" count="0" memberValueDatatype="130" unbalanced="0"/>
    <cacheHierarchy uniqueName="[Table13].[User_ID]" caption="User_ID" attribute="1" defaultMemberUniqueName="[Table13].[User_ID].[All]" allUniqueName="[Table13].[User_ID].[All]" dimensionUniqueName="[Table13]" displayFolder="" count="0" memberValueDatatype="130" unbalanced="0"/>
    <cacheHierarchy uniqueName="[Table13].[Payment_Mode]" caption="Payment_Mode" attribute="1" defaultMemberUniqueName="[Table13].[Payment_Mode].[All]" allUniqueName="[Table13].[Payment_Mode].[All]" dimensionUniqueName="[Table13]" displayFolder="" count="0" memberValueDatatype="130" unbalanced="0"/>
    <cacheHierarchy uniqueName="[Table13].[Amount]" caption="Amount" attribute="1" defaultMemberUniqueName="[Table13].[Amount].[All]" allUniqueName="[Table13].[Amount].[All]" dimensionUniqueName="[Table13]" displayFolder="" count="0" memberValueDatatype="5" unbalanced="0"/>
    <cacheHierarchy uniqueName="[Table13].[Transaction_Date]" caption="Transaction_Date" attribute="1" time="1" defaultMemberUniqueName="[Table13].[Transaction_Date].[All]" allUniqueName="[Table13].[Transaction_Date].[All]" dimensionUniqueName="[Table13]" displayFolder="" count="0" memberValueDatatype="7" unbalanced="0"/>
    <cacheHierarchy uniqueName="[Table13].[Transaction_Time]" caption="Transaction_Time" attribute="1" defaultMemberUniqueName="[Table13].[Transaction_Time].[All]" allUniqueName="[Table13].[Transaction_Time].[All]" dimensionUniqueName="[Table13]" displayFolder="" count="0" memberValueDatatype="130" unbalanced="0"/>
    <cacheHierarchy uniqueName="[Table13].[City]" caption="City" attribute="1" defaultMemberUniqueName="[Table13].[City].[All]" allUniqueName="[Table13].[City].[All]" dimensionUniqueName="[Table13]" displayFolder="" count="0" memberValueDatatype="130" unbalanced="0"/>
    <cacheHierarchy uniqueName="[Table13].[Device_Type]" caption="Device_Type" attribute="1" defaultMemberUniqueName="[Table13].[Device_Type].[All]" allUniqueName="[Table13].[Device_Type].[All]" dimensionUniqueName="[Table13]" displayFolder="" count="0" memberValueDatatype="130" unbalanced="0"/>
    <cacheHierarchy uniqueName="[Table13].[User_Segment]" caption="User_Segment" attribute="1" defaultMemberUniqueName="[Table13].[User_Segment].[All]" allUniqueName="[Table13].[User_Segment].[All]" dimensionUniqueName="[Table13]" displayFolder="" count="0" memberValueDatatype="130" unbalanced="0"/>
    <cacheHierarchy uniqueName="[Table13].[Fraud_Flag]" caption="Fraud_Flag" attribute="1" defaultMemberUniqueName="[Table13].[Fraud_Flag].[All]" allUniqueName="[Table13].[Fraud_Flag].[All]" dimensionUniqueName="[Table13]" displayFolder="" count="0" memberValueDatatype="130" unbalanced="0"/>
    <cacheHierarchy uniqueName="[Table13].[Merchant_ID]" caption="Merchant_ID" attribute="1" defaultMemberUniqueName="[Table13].[Merchant_ID].[All]" allUniqueName="[Table13].[Merchant_ID].[All]" dimensionUniqueName="[Table13]" displayFolder="" count="0" memberValueDatatype="130" unbalanced="0"/>
    <cacheHierarchy uniqueName="[Table13].[Merchant_Category]" caption="Merchant_Category" attribute="1" defaultMemberUniqueName="[Table13].[Merchant_Category].[All]" allUniqueName="[Table13].[Merchant_Category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Loss]" caption="Loss" attribute="1" defaultMemberUniqueName="[Table13].[Loss].[All]" allUniqueName="[Table13].[Loss].[All]" dimensionUniqueName="[Table13]" displayFolder="" count="0" memberValueDatatype="5" unbalanced="0"/>
    <cacheHierarchy uniqueName="[Table13].[Transaction_Status]" caption="Transaction_Status" attribute="1" defaultMemberUniqueName="[Table13].[Transaction_Status].[All]" allUniqueName="[Table13].[Transaction_Status].[All]" dimensionUniqueName="[Table13]" displayFolder="" count="0" memberValueDatatype="130" unbalanced="0"/>
    <cacheHierarchy uniqueName="[Table13].[Retry_Count]" caption="Retry_Count" attribute="1" defaultMemberUniqueName="[Table13].[Retry_Count].[All]" allUniqueName="[Table13].[Retry_Count].[All]" dimensionUniqueName="[Table13]" displayFolder="" count="0" memberValueDatatype="20" unbalanced="0"/>
    <cacheHierarchy uniqueName="[Table13].[Browser_Type]" caption="Browser_Type" attribute="1" defaultMemberUniqueName="[Table13].[Browser_Type].[All]" allUniqueName="[Table13].[Browser_Type].[All]" dimensionUniqueName="[Table13]" displayFolder="" count="0" memberValueDatatype="130" unbalanced="0"/>
    <cacheHierarchy uniqueName="[Table13].[IP_Country]" caption="IP_Country" attribute="1" defaultMemberUniqueName="[Table13].[IP_Country].[All]" allUniqueName="[Table13].[IP_Country].[All]" dimensionUniqueName="[Table13]" displayFolder="" count="0" memberValueDatatype="130" unbalanced="0"/>
    <cacheHierarchy uniqueName="[Table13].[Amount_Deviation]" caption="Amount_Deviation" attribute="1" defaultMemberUniqueName="[Table13].[Amount_Deviation].[All]" allUniqueName="[Table13].[Amount_Deviation].[All]" dimensionUniqueName="[Table13]" displayFolder="" count="0" memberValueDatatype="5" unbalanced="0"/>
    <cacheHierarchy uniqueName="[Table13].[Risk_Score]" caption="Risk_Score" attribute="1" defaultMemberUniqueName="[Table13].[Risk_Score].[All]" allUniqueName="[Table13].[Risk_Score].[All]" dimensionUniqueName="[Table13]" displayFolder="" count="0" memberValueDatatype="5" unbalanced="0"/>
    <cacheHierarchy uniqueName="[Table13].[Risk_Category]" caption="Risk_Category" attribute="1" defaultMemberUniqueName="[Table13].[Risk_Category].[All]" allUniqueName="[Table13].[Risk_Category].[All]" dimensionUniqueName="[Table13]" displayFolder="" count="0" memberValueDatatype="130" unbalanced="0"/>
    <cacheHierarchy uniqueName="[Table13].[Net_Profit]" caption="Net_Profit" attribute="1" defaultMemberUniqueName="[Table13].[Net_Profit].[All]" allUniqueName="[Table13].[Net_Profit].[All]" dimensionUniqueName="[Table13]" displayFolder="" count="0" memberValueDatatype="5" unbalanced="0"/>
    <cacheHierarchy uniqueName="[Table3].[Transaction_ID]" caption="Transaction_ID" attribute="1" defaultMemberUniqueName="[Table3].[Transaction_ID].[All]" allUniqueName="[Table3].[Transaction_ID].[All]" dimensionUniqueName="[Table3]" displayFolder="" count="0" memberValueDatatype="130" unbalanced="0"/>
    <cacheHierarchy uniqueName="[Table3].[Payment_Mode]" caption="Payment_Mode" attribute="1" defaultMemberUniqueName="[Table3].[Payment_Mode].[All]" allUniqueName="[Table3].[Payment_Mode].[All]" dimensionUniqueName="[Table3]" displayFolder="" count="0" memberValueDatatype="130" unbalanced="0"/>
    <cacheHierarchy uniqueName="[Table3].[Device_Type]" caption="Device_Type" attribute="1" defaultMemberUniqueName="[Table3].[Device_Type].[All]" allUniqueName="[Table3].[Device_Type].[All]" dimensionUniqueName="[Table3]" displayFolder="" count="0" memberValueDatatype="130" unbalanced="0"/>
    <cacheHierarchy uniqueName="[Table3].[Fraud_Flag]" caption="Fraud_Flag" attribute="1" defaultMemberUniqueName="[Table3].[Fraud_Flag].[All]" allUniqueName="[Table3].[Fraud_Flag].[All]" dimensionUniqueName="[Table3]" displayFolder="" count="2" memberValueDatatype="130" unbalanced="0">
      <fieldsUsage count="2">
        <fieldUsage x="-1"/>
        <fieldUsage x="0"/>
      </fieldsUsage>
    </cacheHierarchy>
    <cacheHierarchy uniqueName="[Table6].[Transaction_ID]" caption="Transaction_ID" attribute="1" defaultMemberUniqueName="[Table6].[Transaction_ID].[All]" allUniqueName="[Table6].[Transaction_ID].[All]" dimensionUniqueName="[Table6]" displayFolder="" count="0" memberValueDatatype="130" unbalanced="0"/>
    <cacheHierarchy uniqueName="[Table6].[Amount]" caption="Amount" attribute="1" defaultMemberUniqueName="[Table6].[Amount].[All]" allUniqueName="[Table6].[Amount].[All]" dimensionUniqueName="[Table6]" displayFolder="" count="0" memberValueDatatype="5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User_Segment]" caption="User_Segment" attribute="1" defaultMemberUniqueName="[Table6].[User_Segment].[All]" allUniqueName="[Table6].[User_Segment].[All]" dimensionUniqueName="[Table6]" displayFolder="" count="0" memberValueDatatype="130" unbalanced="0"/>
    <cacheHierarchy uniqueName="[Table6].[Merchant_Category]" caption="Merchant_Category" attribute="1" defaultMemberUniqueName="[Table6].[Merchant_Category].[All]" allUniqueName="[Table6].[Merchant_Category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Browser_Type]" caption="Browser_Type" attribute="1" defaultMemberUniqueName="[Table6].[Browser_Type].[All]" allUniqueName="[Table6].[Browser_Type].[All]" dimensionUniqueName="[Table6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XL_Count Table6]" caption="__XL_Count Table6" measure="1" displayFolder="" measureGroup="Table6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mount 2]" caption="Sum of Amount 2" measure="1" displayFolder="" measureGroup="Table13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measure="1" name="Measures" uniqueName="[Measures]" caption="Measures"/>
    <dimension name="Table13" uniqueName="[Table13]" caption="Table13"/>
    <dimension name="Table3" uniqueName="[Table3]" caption="Table3"/>
    <dimension name="Table6" uniqueName="[Table6]" caption="Table6"/>
  </dimensions>
  <measureGroups count="3">
    <measureGroup name="Table13" caption="Table13"/>
    <measureGroup name="Table3" caption="Table3"/>
    <measureGroup name="Table6" caption="Table6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ubhradeep Das" refreshedDate="46063.450409490739" createdVersion="5" refreshedVersion="8" minRefreshableVersion="3" recordCount="0" supportSubquery="1" supportAdvancedDrill="1" xr:uid="{B7ED9716-A907-4ECB-BAEB-7E9467823D0F}">
  <cacheSource type="external" connectionId="1"/>
  <cacheFields count="3">
    <cacheField name="[Table13].[Device_Type].[Device_Type]" caption="Device_Type" numFmtId="0" hierarchy="7" level="1">
      <sharedItems count="4">
        <s v="Android"/>
        <s v="Ios"/>
        <s v="Web"/>
        <s v="N/A" u="1"/>
      </sharedItems>
    </cacheField>
    <cacheField name="[Measures].[Sum of Amount 2]" caption="Sum of Amount 2" numFmtId="0" hierarchy="37" level="32767"/>
    <cacheField name="[Table13].[Fraud_Flag].[Fraud_Flag]" caption="Fraud_Flag" numFmtId="0" hierarchy="9" level="1">
      <sharedItems count="2">
        <s v="Yes"/>
        <s v="No" u="1"/>
      </sharedItems>
    </cacheField>
  </cacheFields>
  <cacheHierarchies count="38">
    <cacheHierarchy uniqueName="[Table13].[Transaction_ID]" caption="Transaction_ID" attribute="1" defaultMemberUniqueName="[Table13].[Transaction_ID].[All]" allUniqueName="[Table13].[Transaction_ID].[All]" dimensionUniqueName="[Table13]" displayFolder="" count="0" memberValueDatatype="130" unbalanced="0"/>
    <cacheHierarchy uniqueName="[Table13].[User_ID]" caption="User_ID" attribute="1" defaultMemberUniqueName="[Table13].[User_ID].[All]" allUniqueName="[Table13].[User_ID].[All]" dimensionUniqueName="[Table13]" displayFolder="" count="0" memberValueDatatype="130" unbalanced="0"/>
    <cacheHierarchy uniqueName="[Table13].[Payment_Mode]" caption="Payment_Mode" attribute="1" defaultMemberUniqueName="[Table13].[Payment_Mode].[All]" allUniqueName="[Table13].[Payment_Mode].[All]" dimensionUniqueName="[Table13]" displayFolder="" count="0" memberValueDatatype="130" unbalanced="0"/>
    <cacheHierarchy uniqueName="[Table13].[Amount]" caption="Amount" attribute="1" defaultMemberUniqueName="[Table13].[Amount].[All]" allUniqueName="[Table13].[Amount].[All]" dimensionUniqueName="[Table13]" displayFolder="" count="0" memberValueDatatype="5" unbalanced="0"/>
    <cacheHierarchy uniqueName="[Table13].[Transaction_Date]" caption="Transaction_Date" attribute="1" time="1" defaultMemberUniqueName="[Table13].[Transaction_Date].[All]" allUniqueName="[Table13].[Transaction_Date].[All]" dimensionUniqueName="[Table13]" displayFolder="" count="0" memberValueDatatype="7" unbalanced="0"/>
    <cacheHierarchy uniqueName="[Table13].[Transaction_Time]" caption="Transaction_Time" attribute="1" defaultMemberUniqueName="[Table13].[Transaction_Time].[All]" allUniqueName="[Table13].[Transaction_Time].[All]" dimensionUniqueName="[Table13]" displayFolder="" count="0" memberValueDatatype="130" unbalanced="0"/>
    <cacheHierarchy uniqueName="[Table13].[City]" caption="City" attribute="1" defaultMemberUniqueName="[Table13].[City].[All]" allUniqueName="[Table13].[City].[All]" dimensionUniqueName="[Table13]" displayFolder="" count="0" memberValueDatatype="130" unbalanced="0"/>
    <cacheHierarchy uniqueName="[Table13].[Device_Type]" caption="Device_Type" attribute="1" defaultMemberUniqueName="[Table13].[Device_Type].[All]" allUniqueName="[Table13].[Device_Type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User_Segment]" caption="User_Segment" attribute="1" defaultMemberUniqueName="[Table13].[User_Segment].[All]" allUniqueName="[Table13].[User_Segment].[All]" dimensionUniqueName="[Table13]" displayFolder="" count="0" memberValueDatatype="130" unbalanced="0"/>
    <cacheHierarchy uniqueName="[Table13].[Fraud_Flag]" caption="Fraud_Flag" attribute="1" defaultMemberUniqueName="[Table13].[Fraud_Flag].[All]" allUniqueName="[Table13].[Fraud_Flag].[All]" dimensionUniqueName="[Table13]" displayFolder="" count="2" memberValueDatatype="130" unbalanced="0">
      <fieldsUsage count="2">
        <fieldUsage x="-1"/>
        <fieldUsage x="2"/>
      </fieldsUsage>
    </cacheHierarchy>
    <cacheHierarchy uniqueName="[Table13].[Merchant_ID]" caption="Merchant_ID" attribute="1" defaultMemberUniqueName="[Table13].[Merchant_ID].[All]" allUniqueName="[Table13].[Merchant_ID].[All]" dimensionUniqueName="[Table13]" displayFolder="" count="0" memberValueDatatype="130" unbalanced="0"/>
    <cacheHierarchy uniqueName="[Table13].[Merchant_Category]" caption="Merchant_Category" attribute="1" defaultMemberUniqueName="[Table13].[Merchant_Category].[All]" allUniqueName="[Table13].[Merchant_Category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Loss]" caption="Loss" attribute="1" defaultMemberUniqueName="[Table13].[Loss].[All]" allUniqueName="[Table13].[Loss].[All]" dimensionUniqueName="[Table13]" displayFolder="" count="0" memberValueDatatype="5" unbalanced="0"/>
    <cacheHierarchy uniqueName="[Table13].[Transaction_Status]" caption="Transaction_Status" attribute="1" defaultMemberUniqueName="[Table13].[Transaction_Status].[All]" allUniqueName="[Table13].[Transaction_Status].[All]" dimensionUniqueName="[Table13]" displayFolder="" count="0" memberValueDatatype="130" unbalanced="0"/>
    <cacheHierarchy uniqueName="[Table13].[Retry_Count]" caption="Retry_Count" attribute="1" defaultMemberUniqueName="[Table13].[Retry_Count].[All]" allUniqueName="[Table13].[Retry_Count].[All]" dimensionUniqueName="[Table13]" displayFolder="" count="0" memberValueDatatype="20" unbalanced="0"/>
    <cacheHierarchy uniqueName="[Table13].[Browser_Type]" caption="Browser_Type" attribute="1" defaultMemberUniqueName="[Table13].[Browser_Type].[All]" allUniqueName="[Table13].[Browser_Type].[All]" dimensionUniqueName="[Table13]" displayFolder="" count="0" memberValueDatatype="130" unbalanced="0"/>
    <cacheHierarchy uniqueName="[Table13].[IP_Country]" caption="IP_Country" attribute="1" defaultMemberUniqueName="[Table13].[IP_Country].[All]" allUniqueName="[Table13].[IP_Country].[All]" dimensionUniqueName="[Table13]" displayFolder="" count="0" memberValueDatatype="130" unbalanced="0"/>
    <cacheHierarchy uniqueName="[Table13].[Amount_Deviation]" caption="Amount_Deviation" attribute="1" defaultMemberUniqueName="[Table13].[Amount_Deviation].[All]" allUniqueName="[Table13].[Amount_Deviation].[All]" dimensionUniqueName="[Table13]" displayFolder="" count="0" memberValueDatatype="5" unbalanced="0"/>
    <cacheHierarchy uniqueName="[Table13].[Risk_Score]" caption="Risk_Score" attribute="1" defaultMemberUniqueName="[Table13].[Risk_Score].[All]" allUniqueName="[Table13].[Risk_Score].[All]" dimensionUniqueName="[Table13]" displayFolder="" count="0" memberValueDatatype="5" unbalanced="0"/>
    <cacheHierarchy uniqueName="[Table13].[Risk_Category]" caption="Risk_Category" attribute="1" defaultMemberUniqueName="[Table13].[Risk_Category].[All]" allUniqueName="[Table13].[Risk_Category].[All]" dimensionUniqueName="[Table13]" displayFolder="" count="0" memberValueDatatype="130" unbalanced="0"/>
    <cacheHierarchy uniqueName="[Table13].[Net_Profit]" caption="Net_Profit" attribute="1" defaultMemberUniqueName="[Table13].[Net_Profit].[All]" allUniqueName="[Table13].[Net_Profit].[All]" dimensionUniqueName="[Table13]" displayFolder="" count="0" memberValueDatatype="5" unbalanced="0"/>
    <cacheHierarchy uniqueName="[Table3].[Transaction_ID]" caption="Transaction_ID" attribute="1" defaultMemberUniqueName="[Table3].[Transaction_ID].[All]" allUniqueName="[Table3].[Transaction_ID].[All]" dimensionUniqueName="[Table3]" displayFolder="" count="0" memberValueDatatype="130" unbalanced="0"/>
    <cacheHierarchy uniqueName="[Table3].[Payment_Mode]" caption="Payment_Mode" attribute="1" defaultMemberUniqueName="[Table3].[Payment_Mode].[All]" allUniqueName="[Table3].[Payment_Mode].[All]" dimensionUniqueName="[Table3]" displayFolder="" count="0" memberValueDatatype="130" unbalanced="0"/>
    <cacheHierarchy uniqueName="[Table3].[Device_Type]" caption="Device_Type" attribute="1" defaultMemberUniqueName="[Table3].[Device_Type].[All]" allUniqueName="[Table3].[Device_Type].[All]" dimensionUniqueName="[Table3]" displayFolder="" count="0" memberValueDatatype="130" unbalanced="0"/>
    <cacheHierarchy uniqueName="[Table3].[Fraud_Flag]" caption="Fraud_Flag" attribute="1" defaultMemberUniqueName="[Table3].[Fraud_Flag].[All]" allUniqueName="[Table3].[Fraud_Flag].[All]" dimensionUniqueName="[Table3]" displayFolder="" count="0" memberValueDatatype="130" unbalanced="0"/>
    <cacheHierarchy uniqueName="[Table6].[Transaction_ID]" caption="Transaction_ID" attribute="1" defaultMemberUniqueName="[Table6].[Transaction_ID].[All]" allUniqueName="[Table6].[Transaction_ID].[All]" dimensionUniqueName="[Table6]" displayFolder="" count="0" memberValueDatatype="130" unbalanced="0"/>
    <cacheHierarchy uniqueName="[Table6].[Amount]" caption="Amount" attribute="1" defaultMemberUniqueName="[Table6].[Amount].[All]" allUniqueName="[Table6].[Amount].[All]" dimensionUniqueName="[Table6]" displayFolder="" count="0" memberValueDatatype="5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User_Segment]" caption="User_Segment" attribute="1" defaultMemberUniqueName="[Table6].[User_Segment].[All]" allUniqueName="[Table6].[User_Segment].[All]" dimensionUniqueName="[Table6]" displayFolder="" count="0" memberValueDatatype="130" unbalanced="0"/>
    <cacheHierarchy uniqueName="[Table6].[Merchant_Category]" caption="Merchant_Category" attribute="1" defaultMemberUniqueName="[Table6].[Merchant_Category].[All]" allUniqueName="[Table6].[Merchant_Category].[All]" dimensionUniqueName="[Table6]" displayFolder="" count="0" memberValueDatatype="130" unbalanced="0"/>
    <cacheHierarchy uniqueName="[Table6].[Browser_Type]" caption="Browser_Type" attribute="1" defaultMemberUniqueName="[Table6].[Browser_Type].[All]" allUniqueName="[Table6].[Browser_Type].[All]" dimensionUniqueName="[Table6]" displayFolder="" count="0" memberValueDatatype="130" unbalanced="0"/>
    <cacheHierarchy uniqueName="[Measures].[__XL_Count Table3]" caption="__XL_Count Table3" measure="1" displayFolder="" measureGroup="Table3" count="0" hidden="1"/>
    <cacheHierarchy uniqueName="[Measures].[__XL_Count Table6]" caption="__XL_Count Table6" measure="1" displayFolder="" measureGroup="Table6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6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Amount 2]" caption="Sum of Amount 2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measure="1" name="Measures" uniqueName="[Measures]" caption="Measures"/>
    <dimension name="Table13" uniqueName="[Table13]" caption="Table13"/>
    <dimension name="Table3" uniqueName="[Table3]" caption="Table3"/>
    <dimension name="Table6" uniqueName="[Table6]" caption="Table6"/>
  </dimensions>
  <measureGroups count="3">
    <measureGroup name="Table13" caption="Table13"/>
    <measureGroup name="Table3" caption="Table3"/>
    <measureGroup name="Table6" caption="Table6"/>
  </measureGroups>
  <maps count="4">
    <map measureGroup="0" dimension="1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radeep Das" refreshedDate="46063.455585069445" createdVersion="8" refreshedVersion="8" minRefreshableVersion="3" recordCount="500" xr:uid="{F64BB9E9-C063-4A20-A1B0-8431C151E0B8}">
  <cacheSource type="worksheet">
    <worksheetSource name="Table13"/>
  </cacheSource>
  <cacheFields count="22">
    <cacheField name="Transaction_ID" numFmtId="0">
      <sharedItems/>
    </cacheField>
    <cacheField name="User_ID" numFmtId="0">
      <sharedItems/>
    </cacheField>
    <cacheField name="Payment_Mode" numFmtId="0">
      <sharedItems/>
    </cacheField>
    <cacheField name="Amount" numFmtId="2">
      <sharedItems containsSemiMixedTypes="0" containsString="0" containsNumber="1" minValue="-10000" maxValue="1000000"/>
    </cacheField>
    <cacheField name="Transaction_Date" numFmtId="164">
      <sharedItems containsSemiMixedTypes="0" containsNonDate="0" containsDate="1" containsString="0" minDate="2025-01-02T00:00:00" maxDate="2026-01-01T00:00:00"/>
    </cacheField>
    <cacheField name="Transaction_Time" numFmtId="0">
      <sharedItems/>
    </cacheField>
    <cacheField name="City" numFmtId="0">
      <sharedItems count="11">
        <s v="Delhi"/>
        <s v="Chennai"/>
        <s v="Ahmedabad"/>
        <s v="Bhātpāra"/>
        <s v="Pune"/>
        <s v="Bangalore"/>
        <s v="N/A"/>
        <s v="Hyderabad"/>
        <s v="Kolkata"/>
        <s v="Mumbai"/>
        <s v="Jaipur"/>
      </sharedItems>
    </cacheField>
    <cacheField name="Device_Type" numFmtId="0">
      <sharedItems/>
    </cacheField>
    <cacheField name="User_Segment" numFmtId="0">
      <sharedItems/>
    </cacheField>
    <cacheField name="Fraud_Flag" numFmtId="0">
      <sharedItems count="2">
        <s v="No"/>
        <s v="Yes"/>
      </sharedItems>
    </cacheField>
    <cacheField name="Merchant_ID" numFmtId="0">
      <sharedItems/>
    </cacheField>
    <cacheField name="Merchant_Category" numFmtId="0">
      <sharedItems/>
    </cacheField>
    <cacheField name="Revenue" numFmtId="2">
      <sharedItems containsSemiMixedTypes="0" containsString="0" containsNumber="1" minValue="0" maxValue="4977.5970541167299"/>
    </cacheField>
    <cacheField name="Loss" numFmtId="2">
      <sharedItems containsSemiMixedTypes="0" containsString="0" containsNumber="1" minValue="0" maxValue="498.83613163233002"/>
    </cacheField>
    <cacheField name="Transaction_Status" numFmtId="0">
      <sharedItems/>
    </cacheField>
    <cacheField name="Retry_Count" numFmtId="0">
      <sharedItems containsSemiMixedTypes="0" containsString="0" containsNumber="1" containsInteger="1" minValue="0" maxValue="4"/>
    </cacheField>
    <cacheField name="Browser_Type" numFmtId="0">
      <sharedItems/>
    </cacheField>
    <cacheField name="IP_Country" numFmtId="0">
      <sharedItems/>
    </cacheField>
    <cacheField name="Amount_Deviation" numFmtId="2">
      <sharedItems containsSemiMixedTypes="0" containsString="0" containsNumber="1" minValue="-29.695271221456402" maxValue="29.894041549723202"/>
    </cacheField>
    <cacheField name="Risk_Score" numFmtId="2">
      <sharedItems containsSemiMixedTypes="0" containsString="0" containsNumber="1" minValue="0.65254104288869896" maxValue="99.974127225809298"/>
    </cacheField>
    <cacheField name="Risk_Category" numFmtId="0">
      <sharedItems/>
    </cacheField>
    <cacheField name="Net_Profit" numFmtId="165">
      <sharedItems containsSemiMixedTypes="0" containsString="0" containsNumber="1" minValue="0" maxValue="4977.5970541167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XN000375"/>
    <s v="USR00147"/>
    <s v="NetBanking"/>
    <n v="44384.278077423798"/>
    <d v="2025-01-02T00:00:00"/>
    <s v="10:56:20"/>
    <x v="0"/>
    <s v="Web"/>
    <s v="Premium"/>
    <x v="0"/>
    <s v="MCH4977"/>
    <s v="Entertainment"/>
    <n v="1122.0669688548401"/>
    <n v="0"/>
    <s v="Failed"/>
    <n v="2"/>
    <s v="Chrome"/>
    <s v="IN"/>
    <n v="-2.9576365049768598"/>
    <n v="64.782230482443595"/>
    <s v="Normal"/>
    <n v="1122.0669688548401"/>
  </r>
  <r>
    <s v="TXN000500"/>
    <s v="USR00086"/>
    <s v="Card"/>
    <n v="34689.443051700597"/>
    <d v="2025-01-02T00:00:00"/>
    <s v="13:29:40"/>
    <x v="1"/>
    <s v="Android"/>
    <s v="Regular"/>
    <x v="1"/>
    <s v="MCH2466"/>
    <s v="Travel"/>
    <n v="1324.5209319114399"/>
    <n v="0"/>
    <s v="Failed"/>
    <n v="3"/>
    <s v="Safari"/>
    <s v="US"/>
    <n v="19.934346402506499"/>
    <n v="23.808521280711801"/>
    <s v="Low"/>
    <n v="1324.5209319114399"/>
  </r>
  <r>
    <s v="TXN000070"/>
    <s v="USR00009"/>
    <s v="UPI"/>
    <n v="2388.4771935911799"/>
    <d v="2025-01-03T00:00:00"/>
    <s v="00:48:31"/>
    <x v="2"/>
    <s v="Web"/>
    <s v="New"/>
    <x v="0"/>
    <s v="MCH1268"/>
    <s v="Health"/>
    <n v="1404.8073655079399"/>
    <n v="0"/>
    <s v="Pending"/>
    <n v="4"/>
    <s v="Edge"/>
    <s v="US"/>
    <n v="-18.153070974532099"/>
    <n v="10.4527887875694"/>
    <s v="Low"/>
    <n v="1404.8073655079399"/>
  </r>
  <r>
    <s v="TXN000129"/>
    <s v="USR00045"/>
    <s v="Card"/>
    <n v="9195.9655359503104"/>
    <d v="2025-01-03T00:00:00"/>
    <s v="09:53:38"/>
    <x v="3"/>
    <s v="Android"/>
    <s v="New"/>
    <x v="0"/>
    <s v="MCH6316"/>
    <s v="Health"/>
    <n v="3491.1779577398302"/>
    <n v="363.50926350706698"/>
    <s v="Success"/>
    <n v="1"/>
    <s v="Unknown"/>
    <s v="UK"/>
    <n v="-14.2178293476642"/>
    <n v="46.192520420573501"/>
    <s v="Normal"/>
    <n v="3127.6686942327601"/>
  </r>
  <r>
    <s v="TXN000416"/>
    <s v="USR00148"/>
    <s v="Card"/>
    <n v="37110.178517010398"/>
    <d v="2025-01-03T00:00:00"/>
    <s v="11:32:41"/>
    <x v="4"/>
    <s v="Ios"/>
    <s v="Premium"/>
    <x v="0"/>
    <s v="MCH3253"/>
    <s v="Entertainment"/>
    <n v="2009.0995143191301"/>
    <n v="0"/>
    <s v="Failed"/>
    <n v="0"/>
    <s v="Safari"/>
    <s v="US"/>
    <n v="-25.136426167343799"/>
    <n v="44.721374079378499"/>
    <s v="Low"/>
    <n v="2009.0995143191301"/>
  </r>
  <r>
    <s v="TXN000463"/>
    <s v="USR00046"/>
    <s v="Card"/>
    <n v="13568.5699973705"/>
    <d v="2025-01-04T00:00:00"/>
    <s v="14:26:34"/>
    <x v="3"/>
    <s v="Web"/>
    <s v="Premium "/>
    <x v="0"/>
    <s v="MCH8954"/>
    <s v="Health"/>
    <n v="1468.0450018356901"/>
    <n v="0"/>
    <s v="Failed"/>
    <n v="4"/>
    <s v="Chrome"/>
    <s v="IN"/>
    <n v="-13.665567449637299"/>
    <n v="5.9480163108389599"/>
    <s v="Low"/>
    <n v="1468.0450018356901"/>
  </r>
  <r>
    <s v="TXN000038"/>
    <s v="USR00049"/>
    <s v="NetBanking"/>
    <n v="23862.9137697718"/>
    <d v="2025-01-04T00:00:00"/>
    <s v="19:22:44"/>
    <x v="4"/>
    <s v="Ios"/>
    <s v="Premium"/>
    <x v="0"/>
    <s v="MCH2719"/>
    <s v="Utilities"/>
    <n v="2169.5105023425099"/>
    <n v="488.22826471770497"/>
    <s v="Failed"/>
    <n v="1"/>
    <s v="Safari"/>
    <s v="US"/>
    <n v="-11.235533028696"/>
    <n v="84.063264481912498"/>
    <s v="High"/>
    <n v="1681.28223762481"/>
  </r>
  <r>
    <s v="TXN000275"/>
    <s v="USR00130"/>
    <s v="Wallet"/>
    <n v="17191.9604332093"/>
    <d v="2025-01-04T00:00:00"/>
    <s v="14:16:39"/>
    <x v="0"/>
    <s v="Ios"/>
    <s v="Premium "/>
    <x v="1"/>
    <s v="MCH4406"/>
    <s v="Health"/>
    <n v="3519.6300568390998"/>
    <n v="0"/>
    <s v="Pending"/>
    <n v="4"/>
    <s v="Chrome"/>
    <s v="UK"/>
    <n v="19.781741065023802"/>
    <n v="72.999322464496402"/>
    <s v="Normal"/>
    <n v="3519.6300568390998"/>
  </r>
  <r>
    <s v="TXN000113"/>
    <s v="USR00040"/>
    <s v="Card"/>
    <n v="11882.2150025585"/>
    <d v="2025-01-05T00:00:00"/>
    <s v="15:48:25"/>
    <x v="5"/>
    <s v="Android"/>
    <s v="Premium"/>
    <x v="1"/>
    <s v="MCH1757"/>
    <s v="Health"/>
    <n v="4665.8201717695201"/>
    <n v="0"/>
    <s v="Success"/>
    <n v="1"/>
    <s v="Firefox"/>
    <s v="US"/>
    <n v="-10.5176799445042"/>
    <n v="92.950570536814894"/>
    <s v="High"/>
    <n v="4665.8201717695201"/>
  </r>
  <r>
    <s v="TXN000266"/>
    <s v="USR00233"/>
    <s v="NetBanking"/>
    <n v="20506.863336566101"/>
    <d v="2025-01-07T00:00:00"/>
    <s v="17:02:48"/>
    <x v="2"/>
    <s v="Web"/>
    <s v="Regular"/>
    <x v="1"/>
    <s v="MCH2810"/>
    <s v="Health"/>
    <n v="4024.7574414800602"/>
    <n v="0"/>
    <s v="Success"/>
    <n v="3"/>
    <s v="Chrome"/>
    <s v="IN"/>
    <n v="-26.6251983410897"/>
    <n v="3.5766243014935202"/>
    <s v="Low"/>
    <n v="4024.7574414800602"/>
  </r>
  <r>
    <s v="TXN000411"/>
    <s v="USR00068"/>
    <s v="UPI"/>
    <n v="49269.828880862602"/>
    <d v="2025-01-07T00:00:00"/>
    <s v="21:51:27"/>
    <x v="6"/>
    <s v="Ios"/>
    <s v="Premium"/>
    <x v="0"/>
    <s v="MCH1371"/>
    <s v="Entertainment"/>
    <n v="2449.2131088347201"/>
    <n v="0"/>
    <s v="Failed"/>
    <n v="0"/>
    <s v="Unknown"/>
    <s v="UK"/>
    <n v="2.6509889386081098"/>
    <n v="1.8371654538104401"/>
    <s v="Low"/>
    <n v="2449.2131088347201"/>
  </r>
  <r>
    <s v="TXN000014"/>
    <s v="USR00203"/>
    <s v="NetBanking"/>
    <n v="3269.2402965410702"/>
    <d v="2025-01-07T00:00:00"/>
    <s v="11:29:40"/>
    <x v="5"/>
    <s v="Android"/>
    <s v="Premium "/>
    <x v="0"/>
    <s v="MCH2716"/>
    <s v="Entertainment"/>
    <n v="731.26718527188905"/>
    <n v="0"/>
    <s v="Success"/>
    <n v="2"/>
    <s v="Firefox"/>
    <s v="IN"/>
    <n v="-14.5313475585997"/>
    <n v="37.110609109953899"/>
    <s v="Low"/>
    <n v="731.26718527188905"/>
  </r>
  <r>
    <s v="TXN000202"/>
    <s v="USR00151"/>
    <s v="UPI"/>
    <n v="30344.483864686299"/>
    <d v="2025-01-07T00:00:00"/>
    <s v="22:18:30"/>
    <x v="5"/>
    <s v="Android"/>
    <s v="Premium "/>
    <x v="0"/>
    <s v="MCH9975"/>
    <s v="Utilities"/>
    <n v="4393.3880266856904"/>
    <n v="90.881798880597103"/>
    <s v="Failed"/>
    <n v="3"/>
    <s v="Safari"/>
    <s v="US"/>
    <n v="-3.2616719506702898"/>
    <n v="64.803165733086203"/>
    <s v="Normal"/>
    <n v="4302.50622780509"/>
  </r>
  <r>
    <s v="TXN000316"/>
    <s v="USR00139"/>
    <s v="NetBanking"/>
    <n v="23338.436103708798"/>
    <d v="2025-01-08T00:00:00"/>
    <s v="04:57:03"/>
    <x v="0"/>
    <s v="Web"/>
    <s v="Premium"/>
    <x v="1"/>
    <s v="MCH3654"/>
    <s v="Food"/>
    <n v="0"/>
    <n v="37.639358325836803"/>
    <s v="Pending"/>
    <n v="2"/>
    <s v="Firefox"/>
    <s v="IN"/>
    <n v="20.4803831403629"/>
    <n v="51.258390313250999"/>
    <s v="Normal"/>
    <n v="0"/>
  </r>
  <r>
    <s v="TXN000493"/>
    <s v="USR00067"/>
    <s v="Card"/>
    <n v="31983.5743281797"/>
    <d v="2025-01-08T00:00:00"/>
    <s v="18:46:51"/>
    <x v="3"/>
    <s v="Ios"/>
    <s v="Regular"/>
    <x v="1"/>
    <s v="MCH3949"/>
    <s v="Utilities"/>
    <n v="172.58614400194801"/>
    <n v="0"/>
    <s v="Success"/>
    <n v="0"/>
    <s v="Chrome"/>
    <s v="US"/>
    <n v="19.292134673381199"/>
    <n v="86.007351898979294"/>
    <s v="High"/>
    <n v="172.58614400194801"/>
  </r>
  <r>
    <s v="TXN000119"/>
    <s v="USR00053"/>
    <s v="Card"/>
    <n v="6742.5347365151601"/>
    <d v="2025-01-09T00:00:00"/>
    <s v="17:04:46"/>
    <x v="4"/>
    <s v="Web"/>
    <s v="New"/>
    <x v="0"/>
    <s v="MCH7726"/>
    <s v="Travel"/>
    <n v="752.87158379281902"/>
    <n v="0"/>
    <s v="Failed"/>
    <n v="3"/>
    <s v="Safari"/>
    <s v="IN"/>
    <n v="-1.71801093552939"/>
    <n v="27.2285660708134"/>
    <s v="Low"/>
    <n v="752.87158379281902"/>
  </r>
  <r>
    <s v="TXN000149"/>
    <s v="USR00234"/>
    <s v="Card"/>
    <n v="12293.222457686299"/>
    <d v="2025-01-09T00:00:00"/>
    <s v="19:07:21"/>
    <x v="0"/>
    <s v="Ios"/>
    <s v="Premium "/>
    <x v="0"/>
    <s v="MCH1607"/>
    <s v="Utilities"/>
    <n v="2396.3310164447998"/>
    <n v="0"/>
    <s v="Failed"/>
    <n v="1"/>
    <s v="Unknown"/>
    <s v="UK"/>
    <n v="-23.789223179632099"/>
    <n v="14.4579710239585"/>
    <s v="Low"/>
    <n v="2396.3310164447998"/>
  </r>
  <r>
    <s v="TXN000335"/>
    <s v="USR00096"/>
    <s v="Wallet"/>
    <n v="43045.537692747603"/>
    <d v="2025-01-09T00:00:00"/>
    <s v="03:18:47"/>
    <x v="0"/>
    <s v="N/A"/>
    <s v="Premium "/>
    <x v="1"/>
    <s v="MCH3229"/>
    <s v="Utilities"/>
    <n v="1036.7601728823599"/>
    <n v="0"/>
    <s v="Failed"/>
    <n v="2"/>
    <s v="Edge"/>
    <s v="IN"/>
    <n v="-20.9673247162665"/>
    <n v="78.168709776639702"/>
    <s v="Normal"/>
    <n v="1036.7601728823599"/>
  </r>
  <r>
    <s v="TXN000395"/>
    <s v="USR00217"/>
    <s v="NetBanking"/>
    <n v="45540.137776661199"/>
    <d v="2025-01-09T00:00:00"/>
    <s v="21:48:16"/>
    <x v="7"/>
    <s v="Android"/>
    <s v="Premium"/>
    <x v="1"/>
    <s v="MCH6874"/>
    <s v="Food"/>
    <n v="1729.1404770393301"/>
    <n v="0"/>
    <s v="Pending"/>
    <n v="0"/>
    <s v="Unknown"/>
    <s v="UK"/>
    <n v="6.6575699659352798"/>
    <n v="26.124513245358202"/>
    <s v="Low"/>
    <n v="1729.1404770393301"/>
  </r>
  <r>
    <s v="TXN000090"/>
    <s v="USR00134"/>
    <s v="NetBanking"/>
    <n v="17319.623128337102"/>
    <d v="2025-01-11T00:00:00"/>
    <s v="03:20:12"/>
    <x v="3"/>
    <s v="Ios"/>
    <s v="Regular"/>
    <x v="1"/>
    <s v="MCH2003"/>
    <s v="Utilities"/>
    <n v="3926.9165005505602"/>
    <n v="204.591293729244"/>
    <s v="Success"/>
    <n v="1"/>
    <s v="Safari"/>
    <s v="US"/>
    <n v="-10.8928819916517"/>
    <n v="11.0172120253633"/>
    <s v="Low"/>
    <n v="3722.3252068213201"/>
  </r>
  <r>
    <s v="TXN000353"/>
    <s v="USR00222"/>
    <s v="Wallet"/>
    <n v="24106.288624540499"/>
    <d v="2025-01-11T00:00:00"/>
    <s v="18:41:34"/>
    <x v="7"/>
    <s v="Ios"/>
    <s v="Regular"/>
    <x v="1"/>
    <s v="MCH5563"/>
    <s v="Utilities"/>
    <n v="601.86405480197095"/>
    <n v="0"/>
    <s v="Success"/>
    <n v="3"/>
    <s v="Unknown"/>
    <s v="IN"/>
    <n v="6.9752424342487496"/>
    <n v="10.8077493666388"/>
    <s v="Low"/>
    <n v="601.86405480197095"/>
  </r>
  <r>
    <s v="TXN000422"/>
    <s v="USR00145"/>
    <s v="UPI"/>
    <n v="6700.5829351539896"/>
    <d v="2025-01-12T00:00:00"/>
    <s v="07:23:59"/>
    <x v="5"/>
    <s v="Android"/>
    <s v="Regular"/>
    <x v="0"/>
    <s v="MCH5571"/>
    <s v="Retail"/>
    <n v="3110.5394538362002"/>
    <n v="262.65913222536102"/>
    <s v="Failed"/>
    <n v="3"/>
    <s v="Safari"/>
    <s v="IN"/>
    <n v="23.025720927481899"/>
    <n v="65.976364045308401"/>
    <s v="Normal"/>
    <n v="2847.8803216108399"/>
  </r>
  <r>
    <s v="TXN000306"/>
    <s v="USR00184"/>
    <s v="Wallet"/>
    <n v="30433.930250333498"/>
    <d v="2025-01-12T00:00:00"/>
    <s v="06:26:26"/>
    <x v="7"/>
    <s v="Web"/>
    <s v="Regular"/>
    <x v="1"/>
    <s v="MCH8469"/>
    <s v="Travel"/>
    <n v="2678.9920068707602"/>
    <n v="0"/>
    <s v="Failed"/>
    <n v="4"/>
    <s v="Chrome"/>
    <s v="US"/>
    <n v="-4.6476371865687103"/>
    <n v="32.877428749259103"/>
    <s v="Low"/>
    <n v="2678.9920068707602"/>
  </r>
  <r>
    <s v="TXN000219"/>
    <s v="USR00062"/>
    <s v="Card"/>
    <n v="41274.120566970603"/>
    <d v="2025-01-12T00:00:00"/>
    <s v="04:21:04"/>
    <x v="8"/>
    <s v="Web"/>
    <s v="New"/>
    <x v="0"/>
    <s v="MCH9090"/>
    <s v="Entertainment"/>
    <n v="1663.11264594816"/>
    <n v="0"/>
    <s v="Failed"/>
    <n v="2"/>
    <s v="Unknown"/>
    <s v="UK"/>
    <n v="21.396740173495601"/>
    <n v="39.9598511620868"/>
    <s v="Low"/>
    <n v="1663.11264594816"/>
  </r>
  <r>
    <s v="TXN000424"/>
    <s v="USR00033"/>
    <s v="UPI"/>
    <n v="34591.9706947218"/>
    <d v="2025-01-12T00:00:00"/>
    <s v="20:07:54"/>
    <x v="3"/>
    <s v="Android"/>
    <s v="New"/>
    <x v="1"/>
    <s v="MCH3237"/>
    <s v="Food"/>
    <n v="3350.32107279507"/>
    <n v="33.027653911080002"/>
    <s v="Success"/>
    <n v="3"/>
    <s v="Safari"/>
    <s v="IN"/>
    <n v="21.5245437907985"/>
    <n v="68.686649373490994"/>
    <s v="Normal"/>
    <n v="3317.2934188839899"/>
  </r>
  <r>
    <s v="TXN000252"/>
    <s v="USR00137"/>
    <s v="Card"/>
    <n v="888888"/>
    <d v="2025-01-12T00:00:00"/>
    <s v="12:50:23"/>
    <x v="9"/>
    <s v="Web"/>
    <s v="Regular"/>
    <x v="1"/>
    <s v="MCH4092"/>
    <s v="Health"/>
    <n v="261.561050006659"/>
    <n v="40.723606445579598"/>
    <s v="Failed"/>
    <n v="2"/>
    <s v="Firefox"/>
    <s v="IN"/>
    <n v="-10.7560144593196"/>
    <n v="7.0368107906029298"/>
    <s v="Low"/>
    <n v="220.837443561079"/>
  </r>
  <r>
    <s v="TXN000222"/>
    <s v="USR00134"/>
    <s v="Wallet"/>
    <n v="31724.552329636801"/>
    <d v="2025-01-13T00:00:00"/>
    <s v="14:20:09"/>
    <x v="7"/>
    <s v="Ios"/>
    <s v="New"/>
    <x v="1"/>
    <s v="MCH2902"/>
    <s v="Travel"/>
    <n v="140.46159513135601"/>
    <n v="433.85104895962002"/>
    <s v="Failed"/>
    <n v="2"/>
    <s v="Safari"/>
    <s v="UK"/>
    <n v="3.2895477901983701"/>
    <n v="67.890084223020693"/>
    <s v="Normal"/>
    <n v="0"/>
  </r>
  <r>
    <s v="TXN000498"/>
    <s v="USR00032"/>
    <s v="Wallet"/>
    <n v="45177.854250537697"/>
    <d v="2025-01-14T00:00:00"/>
    <s v="13:10:52"/>
    <x v="10"/>
    <s v="Ios"/>
    <s v="Regular"/>
    <x v="1"/>
    <s v="MCH2243"/>
    <s v="Utilities"/>
    <n v="3653.66067609118"/>
    <n v="0"/>
    <s v="Failed"/>
    <n v="3"/>
    <s v="Safari"/>
    <s v="US"/>
    <n v="-6.4447349783333197"/>
    <n v="15.3134800604404"/>
    <s v="Low"/>
    <n v="3653.66067609118"/>
  </r>
  <r>
    <s v="TXN000421"/>
    <s v="USR00195"/>
    <s v="UPI"/>
    <n v="21143.0263342088"/>
    <d v="2025-01-14T00:00:00"/>
    <s v="23:11:09"/>
    <x v="1"/>
    <s v="Android"/>
    <s v="Premium"/>
    <x v="1"/>
    <s v="MCH9976"/>
    <s v="Food"/>
    <n v="2701.3907779084898"/>
    <n v="0"/>
    <s v="Failed"/>
    <n v="4"/>
    <s v="Edge"/>
    <s v="US"/>
    <n v="27.469813048516599"/>
    <n v="29.767371559284602"/>
    <s v="Low"/>
    <n v="2701.3907779084898"/>
  </r>
  <r>
    <s v="TXN000024"/>
    <s v="USR00088"/>
    <s v="UPI"/>
    <n v="36333.430119185199"/>
    <d v="2025-01-14T00:00:00"/>
    <s v="11:58:19"/>
    <x v="0"/>
    <s v="Web"/>
    <s v="New"/>
    <x v="1"/>
    <s v="MCH3011"/>
    <s v="Retail"/>
    <n v="3418.3733394956498"/>
    <n v="0"/>
    <s v="Success"/>
    <n v="4"/>
    <s v="Safari"/>
    <s v="UK"/>
    <n v="-1.08082879041564"/>
    <n v="94.399590671061105"/>
    <s v="High"/>
    <n v="3418.3733394956498"/>
  </r>
  <r>
    <s v="TXN000037"/>
    <s v="USR00089"/>
    <s v="Card"/>
    <n v="24958.442813630099"/>
    <d v="2025-01-15T00:00:00"/>
    <s v="22:43:37"/>
    <x v="7"/>
    <s v="Ios"/>
    <s v="Premium"/>
    <x v="1"/>
    <s v="MCH7100"/>
    <s v="Food"/>
    <n v="4827.7877108013899"/>
    <n v="0"/>
    <s v="Failed"/>
    <n v="0"/>
    <s v="Chrome"/>
    <s v="UK"/>
    <n v="-18.527368935195501"/>
    <n v="91.444172948733794"/>
    <s v="High"/>
    <n v="4827.7877108013899"/>
  </r>
  <r>
    <s v="TXN000327"/>
    <s v="USR00148"/>
    <s v="Card"/>
    <n v="39046.735806549797"/>
    <d v="2025-01-15T00:00:00"/>
    <s v="04:15:57"/>
    <x v="1"/>
    <s v="Ios"/>
    <s v="Premium"/>
    <x v="0"/>
    <s v="MCH5042"/>
    <s v="Travel"/>
    <n v="3808.5887329935199"/>
    <n v="130.02402012621701"/>
    <s v="Success"/>
    <n v="1"/>
    <s v="Edge"/>
    <s v="IN"/>
    <n v="3.59962028781348"/>
    <n v="70.778397836248203"/>
    <s v="Normal"/>
    <n v="3678.5647128672999"/>
  </r>
  <r>
    <s v="TXN000300"/>
    <s v="USR00198"/>
    <s v="Card"/>
    <n v="8359.4734673277599"/>
    <d v="2025-01-15T00:00:00"/>
    <s v="09:57:15"/>
    <x v="6"/>
    <s v="Ios"/>
    <s v="Premium "/>
    <x v="0"/>
    <s v="MCH7337"/>
    <s v="Utilities"/>
    <n v="2414.8235256777002"/>
    <n v="0"/>
    <s v="Success"/>
    <n v="2"/>
    <s v="Firefox"/>
    <s v="IN"/>
    <n v="21.338619848696801"/>
    <n v="43.005534519127401"/>
    <s v="Low"/>
    <n v="2414.8235256777002"/>
  </r>
  <r>
    <s v="TXN000006"/>
    <s v="USR00072"/>
    <s v="Card"/>
    <n v="38902.353958387801"/>
    <d v="2025-01-16T00:00:00"/>
    <s v="05:16:58"/>
    <x v="7"/>
    <s v="Ios"/>
    <s v="Premium"/>
    <x v="0"/>
    <s v="MCH2008"/>
    <s v="Retail"/>
    <n v="4089.5912595995901"/>
    <n v="0"/>
    <s v="Failed"/>
    <n v="2"/>
    <s v="Edge"/>
    <s v="US"/>
    <n v="28.377698097122501"/>
    <n v="70.671857704456002"/>
    <s v="Normal"/>
    <n v="4089.5912595995901"/>
  </r>
  <r>
    <s v="TXN000042"/>
    <s v="USR00220"/>
    <s v="Card"/>
    <n v="48401.890895447199"/>
    <d v="2025-01-16T00:00:00"/>
    <s v="00:54:07"/>
    <x v="9"/>
    <s v="Android"/>
    <s v="Regular"/>
    <x v="1"/>
    <s v="MCH1896"/>
    <s v="Retail"/>
    <n v="778.77401833205897"/>
    <n v="0"/>
    <s v="Failed"/>
    <n v="2"/>
    <s v="Edge"/>
    <s v="IN"/>
    <n v="28.1664881479354"/>
    <n v="80.574689217811994"/>
    <s v="High"/>
    <n v="778.77401833205897"/>
  </r>
  <r>
    <s v="TXN000251"/>
    <s v="USR00155"/>
    <s v="NetBanking"/>
    <n v="35378.325016048599"/>
    <d v="2025-01-17T00:00:00"/>
    <s v="22:42:00"/>
    <x v="3"/>
    <s v="Android"/>
    <s v="New"/>
    <x v="0"/>
    <s v="MCH5713"/>
    <s v="Utilities"/>
    <n v="3816.38558947397"/>
    <n v="0"/>
    <s v="Success"/>
    <n v="1"/>
    <s v="Edge"/>
    <s v="UK"/>
    <n v="-22.804688464372202"/>
    <n v="65.328954090136307"/>
    <s v="Normal"/>
    <n v="3816.38558947397"/>
  </r>
  <r>
    <s v="TXN000227"/>
    <s v="USR00084"/>
    <s v="Card"/>
    <n v="22652.2352048221"/>
    <d v="2025-01-17T00:00:00"/>
    <s v="20:17:36"/>
    <x v="5"/>
    <s v="Web"/>
    <s v="Regular"/>
    <x v="0"/>
    <s v="MCH2789"/>
    <s v="Travel"/>
    <n v="728.25350467978706"/>
    <n v="0"/>
    <s v="Success"/>
    <n v="3"/>
    <s v="Chrome"/>
    <s v="IN"/>
    <n v="8.5665930035918993"/>
    <n v="93.395133858271805"/>
    <s v="High"/>
    <n v="728.25350467978706"/>
  </r>
  <r>
    <s v="TXN000487"/>
    <s v="USR00018"/>
    <s v="NetBanking"/>
    <n v="39521.676583713597"/>
    <d v="2025-01-18T00:00:00"/>
    <s v="15:56:18"/>
    <x v="0"/>
    <s v="Android"/>
    <s v="Regular"/>
    <x v="1"/>
    <s v="MCH5875"/>
    <s v="Utilities"/>
    <n v="664.33147018319801"/>
    <n v="0"/>
    <s v="Failed"/>
    <n v="4"/>
    <s v="Chrome"/>
    <s v="IN"/>
    <n v="1.8417113858112799"/>
    <n v="65.248472840615804"/>
    <s v="Normal"/>
    <n v="664.33147018319801"/>
  </r>
  <r>
    <s v="TXN000466"/>
    <s v="USR00099"/>
    <s v="Card"/>
    <n v="42092.330049471202"/>
    <d v="2025-01-20T00:00:00"/>
    <s v="07:55:27"/>
    <x v="8"/>
    <s v="Web"/>
    <s v="Regular"/>
    <x v="0"/>
    <s v="MCH7828"/>
    <s v="Retail"/>
    <n v="4190.8279092664698"/>
    <n v="0"/>
    <s v="Failed"/>
    <n v="4"/>
    <s v="Unknown"/>
    <s v="UK"/>
    <n v="-21.082007065326898"/>
    <n v="79.389565519451693"/>
    <s v="Normal"/>
    <n v="4190.8279092664698"/>
  </r>
  <r>
    <s v="TXN000121"/>
    <s v="USR00154"/>
    <s v="UPI"/>
    <n v="42237.5895644181"/>
    <d v="2025-01-20T00:00:00"/>
    <s v="01:32:54"/>
    <x v="1"/>
    <s v="Ios"/>
    <s v="Regular"/>
    <x v="0"/>
    <s v="MCH3418"/>
    <s v="Travel"/>
    <n v="739.27188074084199"/>
    <n v="0"/>
    <s v="Success"/>
    <n v="0"/>
    <s v="Chrome"/>
    <s v="IN"/>
    <n v="-21.30404837343"/>
    <n v="62.081880350589202"/>
    <s v="Normal"/>
    <n v="739.27188074084199"/>
  </r>
  <r>
    <s v="TXN000489"/>
    <s v="USR00234"/>
    <s v="UPI"/>
    <n v="26112.903303937099"/>
    <d v="2025-01-21T00:00:00"/>
    <s v="09:18:08"/>
    <x v="7"/>
    <s v="Web"/>
    <s v="New"/>
    <x v="1"/>
    <s v="MCH7582"/>
    <s v="Utilities"/>
    <n v="3619.60516891628"/>
    <n v="0"/>
    <s v="Success"/>
    <n v="2"/>
    <s v="Edge"/>
    <s v="UK"/>
    <n v="10.5386438318933"/>
    <n v="35.836253565782798"/>
    <s v="Low"/>
    <n v="3619.60516891628"/>
  </r>
  <r>
    <s v="TXN000292"/>
    <s v="USR00129"/>
    <s v="Card"/>
    <n v="18784.3249490491"/>
    <d v="2025-01-21T00:00:00"/>
    <s v="17:30:14"/>
    <x v="1"/>
    <s v="Ios"/>
    <s v="Premium "/>
    <x v="1"/>
    <s v="MCH6308"/>
    <s v="Travel"/>
    <n v="3513.0028384664702"/>
    <n v="0"/>
    <s v="Success"/>
    <n v="3"/>
    <s v="Safari"/>
    <s v="US"/>
    <n v="12.3594241777196"/>
    <n v="88.190328476345996"/>
    <s v="High"/>
    <n v="3513.0028384664702"/>
  </r>
  <r>
    <s v="TXN000286"/>
    <s v="USR00220"/>
    <s v="Card"/>
    <n v="5200.4119448374604"/>
    <d v="2025-01-22T00:00:00"/>
    <s v="07:45:06"/>
    <x v="7"/>
    <s v="Web"/>
    <s v="Regular"/>
    <x v="1"/>
    <s v="MCH6929"/>
    <s v="Health"/>
    <n v="970.50946240921803"/>
    <n v="0"/>
    <s v="Success"/>
    <n v="3"/>
    <s v="Unknown"/>
    <s v="US"/>
    <n v="-20.2697563717687"/>
    <n v="83.655239116961397"/>
    <s v="High"/>
    <n v="970.50946240921803"/>
  </r>
  <r>
    <s v="TXN000415"/>
    <s v="USR00048"/>
    <s v="UPI"/>
    <n v="25671.637028507899"/>
    <d v="2025-01-22T00:00:00"/>
    <s v="23:02:07"/>
    <x v="0"/>
    <s v="Android"/>
    <s v="New"/>
    <x v="0"/>
    <s v="MCH7010"/>
    <s v="Health"/>
    <n v="2680.2163171758398"/>
    <n v="0"/>
    <s v="Failed"/>
    <n v="1"/>
    <s v="N/A"/>
    <s v="IN"/>
    <n v="13.528682040929199"/>
    <n v="75.378060108641506"/>
    <s v="Normal"/>
    <n v="2680.2163171758398"/>
  </r>
  <r>
    <s v="TXN000254"/>
    <s v="USR00165"/>
    <s v="UPI"/>
    <n v="10306.7751991562"/>
    <d v="2025-01-22T00:00:00"/>
    <s v="04:19:20"/>
    <x v="7"/>
    <s v="Android"/>
    <s v="Regular"/>
    <x v="1"/>
    <s v="MCH7308"/>
    <s v="Entertainment"/>
    <n v="637.370041648967"/>
    <n v="0"/>
    <s v="Pending"/>
    <n v="2"/>
    <s v="Firefox"/>
    <s v="IN"/>
    <n v="-16.045915544590301"/>
    <n v="95.323717878123304"/>
    <s v="High"/>
    <n v="637.370041648967"/>
  </r>
  <r>
    <s v="TXN000209"/>
    <s v="USR00013"/>
    <s v="UPI"/>
    <n v="49547.380875223796"/>
    <d v="2025-01-23T00:00:00"/>
    <s v="13:50:06"/>
    <x v="9"/>
    <s v="Ios"/>
    <s v="Premium "/>
    <x v="1"/>
    <s v="MCH7799"/>
    <s v="Health"/>
    <n v="1637.5863960767899"/>
    <n v="0"/>
    <s v="Success"/>
    <n v="3"/>
    <s v="Edge"/>
    <s v="UK"/>
    <n v="9.5921920097423392"/>
    <n v="74.951641515678105"/>
    <s v="Normal"/>
    <n v="1637.5863960767899"/>
  </r>
  <r>
    <s v="TXN000324"/>
    <s v="USR00208"/>
    <s v="Card"/>
    <n v="8359.1145396558895"/>
    <d v="2025-01-24T00:00:00"/>
    <s v="12:19:16"/>
    <x v="7"/>
    <s v="Web"/>
    <s v="Premium"/>
    <x v="1"/>
    <s v="MCH7854"/>
    <s v="Food"/>
    <n v="4668.1352963647296"/>
    <n v="128.73960824623501"/>
    <s v="Failed"/>
    <n v="2"/>
    <s v="Chrome"/>
    <s v="US"/>
    <n v="-25.194629419730301"/>
    <n v="82.553082334674897"/>
    <s v="High"/>
    <n v="4539.3956881184904"/>
  </r>
  <r>
    <s v="TXN000461"/>
    <s v="USR00158"/>
    <s v="UPI"/>
    <n v="6836.5637433182301"/>
    <d v="2025-01-24T00:00:00"/>
    <s v="15:21:16"/>
    <x v="3"/>
    <s v="Web"/>
    <s v="Premium"/>
    <x v="1"/>
    <s v="MCH1242"/>
    <s v="Travel"/>
    <n v="639.57735258974503"/>
    <n v="445.416074144817"/>
    <s v="Success"/>
    <n v="4"/>
    <s v="Firefox"/>
    <s v="IN"/>
    <n v="20.757915365912002"/>
    <n v="77.655747178522006"/>
    <s v="Normal"/>
    <n v="194.161278444928"/>
  </r>
  <r>
    <s v="TXN000151"/>
    <s v="USR00250"/>
    <s v="Card"/>
    <n v="16584.389215917599"/>
    <d v="2025-01-25T00:00:00"/>
    <s v="04:12:28"/>
    <x v="10"/>
    <s v="Ios"/>
    <s v="Premium "/>
    <x v="1"/>
    <s v="MCH2764"/>
    <s v="Travel"/>
    <n v="0"/>
    <n v="457.549227245015"/>
    <s v="Failed"/>
    <n v="4"/>
    <s v="Unknown"/>
    <s v="US"/>
    <n v="-23.9301713089475"/>
    <n v="14.214085359791801"/>
    <s v="Low"/>
    <n v="0"/>
  </r>
  <r>
    <s v="TXN000425"/>
    <s v="USR00176"/>
    <s v="NetBanking"/>
    <n v="34190.8744366295"/>
    <d v="2025-01-25T00:00:00"/>
    <s v="08:46:14"/>
    <x v="3"/>
    <s v="Android"/>
    <s v="Regular"/>
    <x v="0"/>
    <s v="MCH5054"/>
    <s v="Retail"/>
    <n v="2579.3051780730598"/>
    <n v="486.28411782486802"/>
    <s v="Failed"/>
    <n v="3"/>
    <s v="N/A"/>
    <s v="UK"/>
    <n v="11.602914036891301"/>
    <n v="91.329971160003396"/>
    <s v="High"/>
    <n v="2093.0210602481902"/>
  </r>
  <r>
    <s v="TXN000002"/>
    <s v="USR00180"/>
    <s v="Card"/>
    <n v="43845.408147697097"/>
    <d v="2025-01-26T00:00:00"/>
    <s v="05:44:40"/>
    <x v="9"/>
    <s v="Ios"/>
    <s v="Regular"/>
    <x v="1"/>
    <s v="MCH9383"/>
    <s v="Health"/>
    <n v="3549.7257066493198"/>
    <n v="0"/>
    <s v="Failed"/>
    <n v="0"/>
    <s v="Safari"/>
    <s v="IN"/>
    <n v="25.4696569664432"/>
    <n v="73.315302310658495"/>
    <s v="Normal"/>
    <n v="3549.7257066493198"/>
  </r>
  <r>
    <s v="TXN000272"/>
    <s v="USR00052"/>
    <s v="UPI"/>
    <n v="29991.565302388601"/>
    <d v="2025-01-26T00:00:00"/>
    <s v="12:52:31"/>
    <x v="5"/>
    <s v="Ios"/>
    <s v="Premium "/>
    <x v="1"/>
    <s v="MCH1931"/>
    <s v="Retail"/>
    <n v="3784.95773371718"/>
    <n v="0"/>
    <s v="Failed"/>
    <n v="1"/>
    <s v="N/A"/>
    <s v="IN"/>
    <n v="27.634112179406099"/>
    <n v="47.1083729483925"/>
    <s v="Normal"/>
    <n v="3784.95773371718"/>
  </r>
  <r>
    <s v="TXN000287"/>
    <s v="USR00054"/>
    <s v="UPI"/>
    <n v="45945.651060811302"/>
    <d v="2025-01-27T00:00:00"/>
    <s v="22:43:31"/>
    <x v="10"/>
    <s v="Ios"/>
    <s v="Premium "/>
    <x v="0"/>
    <s v="MCH7792"/>
    <s v="Entertainment"/>
    <n v="4756.5523665863402"/>
    <n v="397.50576846423502"/>
    <s v="Failed"/>
    <n v="4"/>
    <s v="Chrome"/>
    <s v="IN"/>
    <n v="29.094885961014299"/>
    <n v="51.230036091546701"/>
    <s v="Normal"/>
    <n v="4359.0465981221096"/>
  </r>
  <r>
    <s v="TXN000310"/>
    <s v="USR00024"/>
    <s v="Wallet"/>
    <n v="39410.715446853203"/>
    <d v="2025-01-27T00:00:00"/>
    <s v="21:11:16"/>
    <x v="4"/>
    <s v="Android"/>
    <s v="Regular"/>
    <x v="0"/>
    <s v="MCH3176"/>
    <s v="Entertainment"/>
    <n v="4624.1612947861304"/>
    <n v="433.99979594754501"/>
    <s v="Success"/>
    <n v="3"/>
    <s v="Chrome"/>
    <s v="US"/>
    <n v="-8.2339720117514492"/>
    <n v="43.573435684330803"/>
    <s v="Low"/>
    <n v="4190.16149883859"/>
  </r>
  <r>
    <s v="TXN000318"/>
    <s v="USR00144"/>
    <s v="Wallet"/>
    <n v="45930.890774471103"/>
    <d v="2025-01-27T00:00:00"/>
    <s v="09:23:53"/>
    <x v="2"/>
    <s v="Ios"/>
    <s v="Regular"/>
    <x v="0"/>
    <s v="MCH2371"/>
    <s v="Food"/>
    <n v="2782.08498724931"/>
    <n v="56.198513588006499"/>
    <s v="Pending"/>
    <n v="3"/>
    <s v="Firefox"/>
    <s v="IN"/>
    <n v="7.1361097658060304"/>
    <n v="49.415760355180403"/>
    <s v="Normal"/>
    <n v="2725.8864736613"/>
  </r>
  <r>
    <s v="TXN000057"/>
    <s v="USR00229"/>
    <s v="Card"/>
    <n v="4641.0043434613799"/>
    <d v="2025-01-29T00:00:00"/>
    <s v="15:12:08"/>
    <x v="3"/>
    <s v="Android"/>
    <s v="Premium"/>
    <x v="1"/>
    <s v="MCH6904"/>
    <s v="Utilities"/>
    <n v="3225.7644050907202"/>
    <n v="133.39727471691501"/>
    <s v="Failed"/>
    <n v="1"/>
    <s v="Safari"/>
    <s v="US"/>
    <n v="5.0355923518644801"/>
    <n v="34.728766615267503"/>
    <s v="Low"/>
    <n v="3092.3671303738101"/>
  </r>
  <r>
    <s v="TXN000143"/>
    <s v="USR00136"/>
    <s v="N/A"/>
    <n v="29368.118189571898"/>
    <d v="2025-01-29T00:00:00"/>
    <s v="07:49:02"/>
    <x v="10"/>
    <s v="Web"/>
    <s v="New"/>
    <x v="0"/>
    <s v="MCH3053"/>
    <s v="Food"/>
    <n v="2339.8380581705101"/>
    <n v="112.580512107966"/>
    <s v="Success"/>
    <n v="4"/>
    <s v="Safari"/>
    <s v="US"/>
    <n v="26.613188738964599"/>
    <n v="9.1984510670799899"/>
    <s v="Low"/>
    <n v="2227.2575460625399"/>
  </r>
  <r>
    <s v="TXN000267"/>
    <s v="USR00180"/>
    <s v="Wallet"/>
    <n v="38616.910831852401"/>
    <d v="2025-01-29T00:00:00"/>
    <s v="03:03:13"/>
    <x v="8"/>
    <s v="Ios"/>
    <s v="Regular"/>
    <x v="1"/>
    <s v="MCH5566"/>
    <s v="Retail"/>
    <n v="4904.9293368021899"/>
    <n v="146.32754883370399"/>
    <s v="Failed"/>
    <n v="2"/>
    <s v="Unknown"/>
    <s v="UK"/>
    <n v="-25.157492748360799"/>
    <n v="52.8226607727157"/>
    <s v="Normal"/>
    <n v="4758.6017879684896"/>
  </r>
  <r>
    <s v="TXN000208"/>
    <s v="USR00036"/>
    <s v="Wallet"/>
    <n v="46653.609548287699"/>
    <d v="2025-01-31T00:00:00"/>
    <s v="02:20:08"/>
    <x v="3"/>
    <s v="Web"/>
    <s v="Regular"/>
    <x v="0"/>
    <s v="MCH2881"/>
    <s v="Travel"/>
    <n v="4049.93569472431"/>
    <n v="129.05382158670699"/>
    <s v="Failed"/>
    <n v="3"/>
    <s v="Unknown"/>
    <s v="US"/>
    <n v="-25.696095731105501"/>
    <n v="22.980634142266499"/>
    <s v="Low"/>
    <n v="3920.8818731376"/>
  </r>
  <r>
    <s v="TXN000352"/>
    <s v="USR00159"/>
    <s v="Card"/>
    <n v="26769.3489737366"/>
    <d v="2025-02-01T00:00:00"/>
    <s v="12:50:52"/>
    <x v="8"/>
    <s v="Android"/>
    <s v="Premium "/>
    <x v="0"/>
    <s v="MCH9376"/>
    <s v="Travel"/>
    <n v="1747.0528757869799"/>
    <n v="0"/>
    <s v="Failed"/>
    <n v="2"/>
    <s v="Firefox"/>
    <s v="UK"/>
    <n v="-23.029165544754701"/>
    <n v="64.357622273982003"/>
    <s v="Normal"/>
    <n v="1747.0528757869799"/>
  </r>
  <r>
    <s v="TXN000268"/>
    <s v="USR00113"/>
    <s v="Card"/>
    <n v="708.93330867042096"/>
    <d v="2025-02-02T00:00:00"/>
    <s v="08:40:24"/>
    <x v="0"/>
    <s v="Ios"/>
    <s v="New"/>
    <x v="0"/>
    <s v="MCH2909"/>
    <s v="Retail"/>
    <n v="3049.3346673005199"/>
    <n v="0"/>
    <s v="Failed"/>
    <n v="3"/>
    <s v="Safari"/>
    <s v="US"/>
    <n v="29.566259190764001"/>
    <n v="66.187838804469095"/>
    <s v="Normal"/>
    <n v="3049.3346673005199"/>
  </r>
  <r>
    <s v="TXN000047"/>
    <s v="USR00190"/>
    <s v="Wallet"/>
    <n v="21084.735355387202"/>
    <d v="2025-02-03T00:00:00"/>
    <s v="17:17:16"/>
    <x v="1"/>
    <s v="Android"/>
    <s v="Premium "/>
    <x v="0"/>
    <s v="MCH4904"/>
    <s v="Utilities"/>
    <n v="83.732754605634199"/>
    <n v="0"/>
    <s v="Pending"/>
    <n v="0"/>
    <s v="Edge"/>
    <s v="IN"/>
    <n v="-20.492853589154201"/>
    <n v="47.287932221054497"/>
    <s v="Normal"/>
    <n v="83.732754605634199"/>
  </r>
  <r>
    <s v="TXN000452"/>
    <s v="USR00048"/>
    <s v="NetBanking"/>
    <n v="3505.66029716917"/>
    <d v="2025-02-04T00:00:00"/>
    <s v="11:08:20"/>
    <x v="1"/>
    <s v="Android"/>
    <s v="New"/>
    <x v="1"/>
    <s v="MCH3076"/>
    <s v="Retail"/>
    <n v="1074.6183261630399"/>
    <n v="0"/>
    <s v="Success"/>
    <n v="0"/>
    <s v="Edge"/>
    <s v="UK"/>
    <n v="17.035715307168001"/>
    <n v="72.294342438944696"/>
    <s v="Normal"/>
    <n v="1074.6183261630399"/>
  </r>
  <r>
    <s v="TXN000243"/>
    <s v="USR00121"/>
    <s v="Wallet"/>
    <n v="34716.508609426601"/>
    <d v="2025-02-06T00:00:00"/>
    <s v="10:54:33"/>
    <x v="2"/>
    <s v="Android"/>
    <s v="Premium"/>
    <x v="0"/>
    <s v="MCH8347"/>
    <s v="Utilities"/>
    <n v="1607.4130992292301"/>
    <n v="0"/>
    <s v="Pending"/>
    <n v="1"/>
    <s v="N/A"/>
    <s v="US"/>
    <n v="-20.912542655975098"/>
    <n v="23.922321366585798"/>
    <s v="Low"/>
    <n v="1607.4130992292301"/>
  </r>
  <r>
    <s v="TXN000444"/>
    <s v="USR00030"/>
    <s v="UPI"/>
    <n v="555555"/>
    <d v="2025-02-06T00:00:00"/>
    <s v="22:26:04"/>
    <x v="9"/>
    <s v="Android"/>
    <s v="New"/>
    <x v="1"/>
    <s v="MCH2986"/>
    <s v="Entertainment"/>
    <n v="933.15967798930399"/>
    <n v="157.834240582033"/>
    <s v="Success"/>
    <n v="0"/>
    <s v="Chrome"/>
    <s v="IN"/>
    <n v="-16.5378494580908"/>
    <n v="67.285503780969094"/>
    <s v="Normal"/>
    <n v="775.32543740727101"/>
  </r>
  <r>
    <s v="TXN000160"/>
    <s v="USR00048"/>
    <s v="Wallet"/>
    <n v="2877.1091189130698"/>
    <d v="2025-02-06T00:00:00"/>
    <s v="19:39:55"/>
    <x v="0"/>
    <s v="Ios"/>
    <s v="Regular"/>
    <x v="0"/>
    <s v="MCH1808"/>
    <s v="Food"/>
    <n v="1420.5063489854599"/>
    <n v="0"/>
    <s v="Success"/>
    <n v="2"/>
    <s v="Unknown"/>
    <s v="US"/>
    <n v="2.7834280327041601"/>
    <n v="42.1554248218034"/>
    <s v="Low"/>
    <n v="1420.5063489854599"/>
  </r>
  <r>
    <s v="TXN000155"/>
    <s v="USR00201"/>
    <s v="NetBanking"/>
    <n v="18331.305301735501"/>
    <d v="2025-02-07T00:00:00"/>
    <s v="16:15:11"/>
    <x v="9"/>
    <s v="Android"/>
    <s v="Premium"/>
    <x v="1"/>
    <s v="MCH4177"/>
    <s v="N/A"/>
    <n v="4097.2357226072099"/>
    <n v="0"/>
    <s v="Failed"/>
    <n v="2"/>
    <s v="Safari"/>
    <s v="US"/>
    <n v="-3.6789178260123898"/>
    <n v="17.740947012118198"/>
    <s v="Low"/>
    <n v="4097.2357226072099"/>
  </r>
  <r>
    <s v="TXN000036"/>
    <s v="USR00236"/>
    <s v="NetBanking"/>
    <n v="1207.0186273120501"/>
    <d v="2025-02-08T00:00:00"/>
    <s v="14:42:49"/>
    <x v="9"/>
    <s v="Ios"/>
    <s v="Premium"/>
    <x v="0"/>
    <s v="MCH4806"/>
    <s v="Entertainment"/>
    <n v="953.16730122982597"/>
    <n v="195.45871342058101"/>
    <s v="Failed"/>
    <n v="3"/>
    <s v="Unknown"/>
    <s v="IN"/>
    <n v="29.769821590215798"/>
    <n v="31.254365223672199"/>
    <s v="Low"/>
    <n v="757.70858780924505"/>
  </r>
  <r>
    <s v="TXN000213"/>
    <s v="USR00243"/>
    <s v="Wallet"/>
    <n v="36107.667882488699"/>
    <d v="2025-02-08T00:00:00"/>
    <s v="04:38:59"/>
    <x v="0"/>
    <s v="Web"/>
    <s v="Premium "/>
    <x v="1"/>
    <s v="MCH7447"/>
    <s v="Retail"/>
    <n v="4438.1875068774198"/>
    <n v="0"/>
    <s v="Success"/>
    <n v="2"/>
    <s v="Safari"/>
    <s v="US"/>
    <n v="9.5420808659400809"/>
    <n v="93.264106255398502"/>
    <s v="High"/>
    <n v="4438.1875068774198"/>
  </r>
  <r>
    <s v="TXN000277"/>
    <s v="USR00113"/>
    <s v="Wallet"/>
    <n v="21237.483434782102"/>
    <d v="2025-02-08T00:00:00"/>
    <s v="07:58:13"/>
    <x v="4"/>
    <s v="Web"/>
    <s v="Premium"/>
    <x v="1"/>
    <s v="MCH2032"/>
    <s v="Retail"/>
    <n v="2263.6451094713698"/>
    <n v="66.708167761603505"/>
    <s v="Failed"/>
    <n v="3"/>
    <s v="Firefox"/>
    <s v="IN"/>
    <n v="-4.5102880093859703"/>
    <n v="68.023775384378297"/>
    <s v="Normal"/>
    <n v="2196.9369417097701"/>
  </r>
  <r>
    <s v="TXN000055"/>
    <s v="USR00249"/>
    <s v="Card"/>
    <n v="31868.5516489519"/>
    <d v="2025-02-08T00:00:00"/>
    <s v="01:49:05"/>
    <x v="1"/>
    <s v="Ios"/>
    <s v="Regular"/>
    <x v="0"/>
    <s v="MCH7845"/>
    <s v="Health"/>
    <n v="758.64872116540505"/>
    <n v="0"/>
    <s v="Failed"/>
    <n v="3"/>
    <s v="N/A"/>
    <s v="US"/>
    <n v="-0.48793068496759401"/>
    <n v="9.2269004562762795"/>
    <s v="Low"/>
    <n v="758.64872116540505"/>
  </r>
  <r>
    <s v="TXN000150"/>
    <s v="USR00231"/>
    <s v="Card"/>
    <n v="24962.5601226621"/>
    <d v="2025-02-09T00:00:00"/>
    <s v="11:57:35"/>
    <x v="7"/>
    <s v="Ios"/>
    <s v="New"/>
    <x v="1"/>
    <s v="MCH5552"/>
    <s v="Health"/>
    <n v="2283.7697396619201"/>
    <n v="0"/>
    <s v="Failed"/>
    <n v="2"/>
    <s v="Safari"/>
    <s v="UK"/>
    <n v="-23.5551404738267"/>
    <n v="69.5258400755434"/>
    <s v="Normal"/>
    <n v="2283.7697396619201"/>
  </r>
  <r>
    <s v="TXN000177"/>
    <s v="USR00131"/>
    <s v="Wallet"/>
    <n v="41945.269679261"/>
    <d v="2025-02-09T00:00:00"/>
    <s v="11:46:48"/>
    <x v="5"/>
    <s v="Ios"/>
    <s v="New"/>
    <x v="1"/>
    <s v="MCH4246"/>
    <s v="Entertainment"/>
    <n v="4120.0291572562001"/>
    <n v="0"/>
    <s v="Failed"/>
    <n v="3"/>
    <s v="Safari"/>
    <s v="UK"/>
    <n v="11.7246402581835"/>
    <n v="98.973659771227105"/>
    <s v="High"/>
    <n v="4120.0291572562001"/>
  </r>
  <r>
    <s v="TXN000166"/>
    <s v="USR00099"/>
    <s v="Wallet"/>
    <n v="44840.852122403601"/>
    <d v="2025-02-09T00:00:00"/>
    <s v="05:51:33"/>
    <x v="3"/>
    <s v="Android"/>
    <s v="Regular"/>
    <x v="0"/>
    <s v="MCH3806"/>
    <s v="Retail"/>
    <n v="4235.9849352728397"/>
    <n v="0"/>
    <s v="Success"/>
    <n v="1"/>
    <s v="Edge"/>
    <s v="US"/>
    <n v="-12.9187343073437"/>
    <n v="38.516262777253999"/>
    <s v="Low"/>
    <n v="4235.9849352728397"/>
  </r>
  <r>
    <s v="TXN000175"/>
    <s v="USR00175"/>
    <s v="Card"/>
    <n v="26798.332929041"/>
    <d v="2025-02-09T00:00:00"/>
    <s v="10:14:21"/>
    <x v="10"/>
    <s v="Ios"/>
    <s v="Premium"/>
    <x v="1"/>
    <s v="MCH2106"/>
    <s v="Food"/>
    <n v="2589.2477816134901"/>
    <n v="237.21745707358701"/>
    <s v="Pending"/>
    <n v="2"/>
    <s v="N/A"/>
    <s v="UK"/>
    <n v="-28.6530450941205"/>
    <n v="13.3468879282128"/>
    <s v="Low"/>
    <n v="2352.0303245399"/>
  </r>
  <r>
    <s v="TXN000488"/>
    <s v="USR00025"/>
    <s v="UPI"/>
    <n v="34558.955599037501"/>
    <d v="2025-02-09T00:00:00"/>
    <s v="13:50:02"/>
    <x v="3"/>
    <s v="Android"/>
    <s v="Premium"/>
    <x v="1"/>
    <s v="MCH6326"/>
    <s v="Food"/>
    <n v="651.00378224961196"/>
    <n v="0"/>
    <s v="Failed"/>
    <n v="0"/>
    <s v="Safari"/>
    <s v="US"/>
    <n v="-14.686053939342999"/>
    <n v="77.380074856903406"/>
    <s v="Normal"/>
    <n v="651.00378224961196"/>
  </r>
  <r>
    <s v="TXN000362"/>
    <s v="USR00060"/>
    <s v="Card"/>
    <n v="26376.265486298798"/>
    <d v="2025-02-10T00:00:00"/>
    <s v="21:45:59"/>
    <x v="4"/>
    <s v="Web"/>
    <s v="Premium"/>
    <x v="1"/>
    <s v="MCH9713"/>
    <s v="Health"/>
    <n v="3657.9055322172899"/>
    <n v="139.565235387135"/>
    <s v="Pending"/>
    <n v="1"/>
    <s v="Safari"/>
    <s v="US"/>
    <n v="23.272375911079799"/>
    <n v="9.5040240651619392"/>
    <s v="Low"/>
    <n v="3518.3402968301498"/>
  </r>
  <r>
    <s v="TXN000400"/>
    <s v="USR00128"/>
    <s v="UPI"/>
    <n v="1807.9827299444"/>
    <d v="2025-02-10T00:00:00"/>
    <s v="01:09:33"/>
    <x v="0"/>
    <s v="Ios"/>
    <s v="New"/>
    <x v="0"/>
    <s v="MCH8766"/>
    <s v="Utilities"/>
    <n v="149.114987174329"/>
    <n v="0"/>
    <s v="Success"/>
    <n v="1"/>
    <s v="Safari"/>
    <s v="IN"/>
    <n v="20.0657471943445"/>
    <n v="68.833076233267704"/>
    <s v="Normal"/>
    <n v="149.114987174329"/>
  </r>
  <r>
    <s v="TXN000194"/>
    <s v="USR00096"/>
    <s v="Wallet"/>
    <n v="27491.206796459999"/>
    <d v="2025-02-14T00:00:00"/>
    <s v="07:20:33"/>
    <x v="10"/>
    <s v="Web"/>
    <s v="Premium "/>
    <x v="1"/>
    <s v="MCH8381"/>
    <s v="Travel"/>
    <n v="3763.7909307322102"/>
    <n v="0"/>
    <s v="Success"/>
    <n v="3"/>
    <s v="Chrome"/>
    <s v="IN"/>
    <n v="-10.4532273752629"/>
    <n v="8.0949702022356096"/>
    <s v="Low"/>
    <n v="3763.7909307322102"/>
  </r>
  <r>
    <s v="TXN000205"/>
    <s v="USR00143"/>
    <s v="Wallet"/>
    <n v="42551.300254821101"/>
    <d v="2025-02-14T00:00:00"/>
    <s v="01:10:49"/>
    <x v="5"/>
    <s v="Android"/>
    <s v="Premium"/>
    <x v="0"/>
    <s v="MCH2553"/>
    <s v="Retail"/>
    <n v="207.02633448935401"/>
    <n v="161.40489672392499"/>
    <s v="Success"/>
    <n v="1"/>
    <s v="Chrome"/>
    <s v="US"/>
    <n v="-22.602964352855199"/>
    <n v="85.791707224356799"/>
    <s v="High"/>
    <n v="45.621437765429"/>
  </r>
  <r>
    <s v="TXN000364"/>
    <s v="USR00002"/>
    <s v="UPI"/>
    <n v="48948.678637236502"/>
    <d v="2025-02-15T00:00:00"/>
    <s v="19:23:24"/>
    <x v="4"/>
    <s v="Ios"/>
    <s v="Premium"/>
    <x v="0"/>
    <s v="MCH6807"/>
    <s v="Health"/>
    <n v="3016.8963147163299"/>
    <n v="0"/>
    <s v="Success"/>
    <n v="3"/>
    <s v="Chrome"/>
    <s v="IN"/>
    <n v="-17.0324400990743"/>
    <n v="72.818335718848203"/>
    <s v="Normal"/>
    <n v="3016.8963147163299"/>
  </r>
  <r>
    <s v="TXN000223"/>
    <s v="USR00028"/>
    <s v="Card"/>
    <n v="45402.5199100795"/>
    <d v="2025-02-15T00:00:00"/>
    <s v="22:57:55"/>
    <x v="3"/>
    <s v="Web"/>
    <s v="Regular"/>
    <x v="1"/>
    <s v="MCH5670"/>
    <s v="Food"/>
    <n v="4525.4699952620404"/>
    <n v="353.81029287026797"/>
    <s v="Failed"/>
    <n v="1"/>
    <s v="Unknown"/>
    <s v="UK"/>
    <n v="-9.5387896646379708"/>
    <n v="39.196774027446303"/>
    <s v="Low"/>
    <n v="4171.6597023917702"/>
  </r>
  <r>
    <s v="TXN000326"/>
    <s v="USR00003"/>
    <s v="Wallet"/>
    <n v="15642.5112395246"/>
    <d v="2025-02-15T00:00:00"/>
    <s v="13:02:23"/>
    <x v="4"/>
    <s v="Android"/>
    <s v="Regular"/>
    <x v="0"/>
    <s v="MCH7553"/>
    <s v="Travel"/>
    <n v="2654.1084661661398"/>
    <n v="0"/>
    <s v="Success"/>
    <n v="0"/>
    <s v="Safari"/>
    <s v="UK"/>
    <n v="5.3571436717710696"/>
    <n v="7.5202028762802504"/>
    <s v="Low"/>
    <n v="2654.1084661661398"/>
  </r>
  <r>
    <s v="TXN000116"/>
    <s v="USR00237"/>
    <s v="Card"/>
    <n v="36053.751463434099"/>
    <d v="2025-02-16T00:00:00"/>
    <s v="06:09:24"/>
    <x v="1"/>
    <s v="Ios"/>
    <s v="Premium"/>
    <x v="1"/>
    <s v="MCH4558"/>
    <s v="Utilities"/>
    <n v="2370.5099085086099"/>
    <n v="405.81350722242701"/>
    <s v="Success"/>
    <n v="4"/>
    <s v="Edge"/>
    <s v="IN"/>
    <n v="-11.111696464765901"/>
    <n v="55.552506806272"/>
    <s v="Normal"/>
    <n v="1964.6964012861799"/>
  </r>
  <r>
    <s v="TXN000003"/>
    <s v="USR00093"/>
    <s v="Wallet"/>
    <n v="27624.234839949098"/>
    <d v="2025-02-16T00:00:00"/>
    <s v="21:59:46"/>
    <x v="4"/>
    <s v="Ios"/>
    <s v="New"/>
    <x v="1"/>
    <s v="MCH8409"/>
    <s v="Travel"/>
    <n v="3329.7111928069899"/>
    <n v="0"/>
    <s v="Pending"/>
    <n v="2"/>
    <s v="Chrome"/>
    <s v="IN"/>
    <n v="0"/>
    <n v="9.4059820228588702"/>
    <s v="Low"/>
    <n v="3329.7111928069899"/>
  </r>
  <r>
    <s v="TXN000468"/>
    <s v="USR00233"/>
    <s v="Card"/>
    <n v="47766.292004901603"/>
    <d v="2025-02-19T00:00:00"/>
    <s v="08:19:59"/>
    <x v="7"/>
    <s v="Ios"/>
    <s v="Premium "/>
    <x v="0"/>
    <s v="MCH9844"/>
    <s v="Travel"/>
    <n v="4646.5545635766603"/>
    <n v="0"/>
    <s v="Failed"/>
    <n v="3"/>
    <s v="Firefox"/>
    <s v="UK"/>
    <n v="-0.45854432823061902"/>
    <n v="85.100376679724903"/>
    <s v="High"/>
    <n v="4646.5545635766603"/>
  </r>
  <r>
    <s v="TXN000320"/>
    <s v="USR00201"/>
    <s v="UPI"/>
    <n v="1739.0488451475701"/>
    <d v="2025-02-19T00:00:00"/>
    <s v="05:20:53"/>
    <x v="7"/>
    <s v="Android"/>
    <s v="Premium"/>
    <x v="1"/>
    <s v="MCH1320"/>
    <s v="Entertainment"/>
    <n v="2158.6877213687198"/>
    <n v="0"/>
    <s v="Pending"/>
    <n v="2"/>
    <s v="Firefox"/>
    <s v="UK"/>
    <n v="23.692152042331202"/>
    <n v="38.379125590684701"/>
    <s v="Low"/>
    <n v="2158.6877213687198"/>
  </r>
  <r>
    <s v="TXN000096"/>
    <s v="USR00191"/>
    <s v="Wallet"/>
    <n v="44721.4414185067"/>
    <d v="2025-02-21T00:00:00"/>
    <s v="03:29:17"/>
    <x v="5"/>
    <s v="Android"/>
    <s v="Regular"/>
    <x v="1"/>
    <s v="MCH7265"/>
    <s v="Health"/>
    <n v="3143.6497544613699"/>
    <n v="346.68876925942601"/>
    <s v="Success"/>
    <n v="4"/>
    <s v="Firefox"/>
    <s v="US"/>
    <n v="-2.6012197444032398E-2"/>
    <n v="29.9012679609346"/>
    <s v="Low"/>
    <n v="2796.9609852019398"/>
  </r>
  <r>
    <s v="TXN000115"/>
    <s v="USR00208"/>
    <s v="Wallet"/>
    <n v="26610.161123279398"/>
    <d v="2025-02-23T00:00:00"/>
    <s v="23:18:35"/>
    <x v="2"/>
    <s v="Web"/>
    <s v="New"/>
    <x v="1"/>
    <s v="MCH4854"/>
    <s v="Food"/>
    <n v="2041.00748749321"/>
    <n v="0"/>
    <s v="Failed"/>
    <n v="3"/>
    <s v="Chrome"/>
    <s v="IN"/>
    <n v="-21.915164092145599"/>
    <n v="57.963245820181797"/>
    <s v="Normal"/>
    <n v="2041.00748749321"/>
  </r>
  <r>
    <s v="TXN000430"/>
    <s v="USR00119"/>
    <s v="UPI"/>
    <n v="3452.0524557939302"/>
    <d v="2025-02-24T00:00:00"/>
    <s v="02:44:02"/>
    <x v="5"/>
    <s v="Ios"/>
    <s v="Premium "/>
    <x v="1"/>
    <s v="MCH8774"/>
    <s v="Health"/>
    <n v="1701.62140863678"/>
    <n v="0"/>
    <s v="Pending"/>
    <n v="4"/>
    <s v="Safari"/>
    <s v="IN"/>
    <n v="0.21719627841608299"/>
    <n v="25.955043327308299"/>
    <s v="Low"/>
    <n v="1701.62140863678"/>
  </r>
  <r>
    <s v="TXN000174"/>
    <s v="USR00101"/>
    <s v="Wallet"/>
    <n v="35951.017814744002"/>
    <d v="2025-02-25T00:00:00"/>
    <s v="05:34:21"/>
    <x v="4"/>
    <s v="Android"/>
    <s v="Premium"/>
    <x v="0"/>
    <s v="MCH2814"/>
    <s v="Entertainment"/>
    <n v="2791.4260311369399"/>
    <n v="0"/>
    <s v="Success"/>
    <n v="1"/>
    <s v="Firefox"/>
    <s v="IN"/>
    <n v="16.7731721277157"/>
    <n v="67.419762286492997"/>
    <s v="Normal"/>
    <n v="2791.4260311369399"/>
  </r>
  <r>
    <s v="TXN000271"/>
    <s v="USR00186"/>
    <s v="NetBanking"/>
    <n v="35837.335829174299"/>
    <d v="2025-02-27T00:00:00"/>
    <s v="07:01:53"/>
    <x v="5"/>
    <s v="Web"/>
    <s v="Regular"/>
    <x v="1"/>
    <s v="MCH1691"/>
    <s v="Retail"/>
    <n v="4764.9581089387602"/>
    <n v="0"/>
    <s v="Failed"/>
    <n v="0"/>
    <s v="Chrome"/>
    <s v="IN"/>
    <n v="-18.296716665818199"/>
    <n v="83.854920702479305"/>
    <s v="High"/>
    <n v="4764.9581089387602"/>
  </r>
  <r>
    <s v="TXN000299"/>
    <s v="USR00160"/>
    <s v="NetBanking"/>
    <n v="11871.7111262945"/>
    <d v="2025-02-27T00:00:00"/>
    <s v="04:46:07"/>
    <x v="7"/>
    <s v="Ios"/>
    <s v="Premium "/>
    <x v="1"/>
    <s v="MCH1129"/>
    <s v="Utilities"/>
    <n v="3120.1947036311099"/>
    <n v="438.563780949251"/>
    <s v="Success"/>
    <n v="1"/>
    <s v="Edge"/>
    <s v="UK"/>
    <n v="-20.751148539820001"/>
    <n v="18.293532128421301"/>
    <s v="Low"/>
    <n v="2681.6309226818598"/>
  </r>
  <r>
    <s v="TXN000448"/>
    <s v="USR00192"/>
    <s v="NetBanking"/>
    <n v="47935.496147929698"/>
    <d v="2025-02-28T00:00:00"/>
    <s v="08:51:37"/>
    <x v="5"/>
    <s v="Ios"/>
    <s v="New"/>
    <x v="0"/>
    <s v="MCH9320"/>
    <s v="Retail"/>
    <n v="1662.8316908962699"/>
    <n v="0"/>
    <s v="Failed"/>
    <n v="1"/>
    <s v="Edge"/>
    <s v="UK"/>
    <n v="-0.70142143044929395"/>
    <n v="40.154173800528199"/>
    <s v="Low"/>
    <n v="1662.8316908962699"/>
  </r>
  <r>
    <s v="TXN000188"/>
    <s v="USR00090"/>
    <s v="Wallet"/>
    <n v="46607.515678620999"/>
    <d v="2025-02-28T00:00:00"/>
    <s v="21:32:35"/>
    <x v="0"/>
    <s v="Android"/>
    <s v="Regular"/>
    <x v="1"/>
    <s v="MCH2048"/>
    <s v="Retail"/>
    <n v="3569.4547616515702"/>
    <n v="0"/>
    <s v="Failed"/>
    <n v="2"/>
    <s v="Edge"/>
    <s v="UK"/>
    <n v="-6.3032888387122696"/>
    <n v="56.503252497595"/>
    <s v="Normal"/>
    <n v="3569.4547616515702"/>
  </r>
  <r>
    <s v="TXN000098"/>
    <s v="USR00218"/>
    <s v="NetBanking"/>
    <n v="16571.9657141768"/>
    <d v="2025-02-28T00:00:00"/>
    <s v="03:25:24"/>
    <x v="10"/>
    <s v="Android"/>
    <s v="Premium"/>
    <x v="1"/>
    <s v="MCH7524"/>
    <s v="Utilities"/>
    <n v="1570.37095811585"/>
    <n v="383.12273638019002"/>
    <s v="Failed"/>
    <n v="0"/>
    <s v="N/A"/>
    <s v="IN"/>
    <n v="6.66140469251547"/>
    <n v="67.122155634631795"/>
    <s v="Normal"/>
    <n v="1187.2482217356601"/>
  </r>
  <r>
    <s v="TXN000189"/>
    <s v="USR00042"/>
    <s v="Card"/>
    <n v="16100.0453887598"/>
    <d v="2025-02-28T00:00:00"/>
    <s v="13:00:45"/>
    <x v="0"/>
    <s v="Web"/>
    <s v="New"/>
    <x v="0"/>
    <s v="MCH9307"/>
    <s v="Utilities"/>
    <n v="1210.77241448676"/>
    <n v="0"/>
    <s v="Pending"/>
    <n v="2"/>
    <s v="Chrome"/>
    <s v="US"/>
    <n v="-14.758138932060801"/>
    <n v="66.9683972463272"/>
    <s v="Normal"/>
    <n v="1210.77241448676"/>
  </r>
  <r>
    <s v="TXN000240"/>
    <s v="USR00121"/>
    <s v="UPI"/>
    <n v="21633.254342508499"/>
    <d v="2025-03-01T00:00:00"/>
    <s v="15:28:32"/>
    <x v="5"/>
    <s v="Android"/>
    <s v="Premium"/>
    <x v="1"/>
    <s v="MCH1969"/>
    <s v="Travel"/>
    <n v="1729.6480364957699"/>
    <n v="323.20368761404399"/>
    <s v="Success"/>
    <n v="1"/>
    <s v="Safari"/>
    <s v="UK"/>
    <n v="12.834056003795901"/>
    <n v="24.761708717471901"/>
    <s v="Low"/>
    <n v="1406.4443488817301"/>
  </r>
  <r>
    <s v="TXN000312"/>
    <s v="USR00116"/>
    <s v="UPI"/>
    <n v="5801.9382727788197"/>
    <d v="2025-03-01T00:00:00"/>
    <s v="01:52:56"/>
    <x v="10"/>
    <s v="Ios"/>
    <s v="Regular"/>
    <x v="1"/>
    <s v="MCH1886"/>
    <s v="Entertainment"/>
    <n v="2831.22575955712"/>
    <n v="0"/>
    <s v="Success"/>
    <n v="2"/>
    <s v="Chrome"/>
    <s v="IN"/>
    <n v="11.006069223235"/>
    <n v="38.863229039883898"/>
    <s v="Low"/>
    <n v="2831.22575955712"/>
  </r>
  <r>
    <s v="TXN000084"/>
    <s v="USR00081"/>
    <s v="Wallet"/>
    <n v="43728.448482235399"/>
    <d v="2025-03-02T00:00:00"/>
    <s v="11:58:42"/>
    <x v="9"/>
    <s v="Web"/>
    <s v="New"/>
    <x v="0"/>
    <s v="MCH7928"/>
    <s v="Travel"/>
    <n v="467.06411821895801"/>
    <n v="350.78263280147098"/>
    <s v="Pending"/>
    <n v="2"/>
    <s v="Firefox"/>
    <s v="IN"/>
    <n v="9.3377647268590493"/>
    <n v="2.00527097840085"/>
    <s v="Low"/>
    <n v="116.281485417487"/>
  </r>
  <r>
    <s v="TXN000123"/>
    <s v="USR00188"/>
    <s v="UPI"/>
    <n v="1620.5604214063501"/>
    <d v="2025-03-02T00:00:00"/>
    <s v="15:36:14"/>
    <x v="3"/>
    <s v="Web"/>
    <s v="New"/>
    <x v="1"/>
    <s v="MCH2001"/>
    <s v="Entertainment"/>
    <n v="1566.18993459331"/>
    <n v="0"/>
    <s v="Failed"/>
    <n v="4"/>
    <s v="Unknown"/>
    <s v="IN"/>
    <n v="24.871569228123398"/>
    <n v="56.952127868203299"/>
    <s v="Normal"/>
    <n v="1566.18993459331"/>
  </r>
  <r>
    <s v="TXN000126"/>
    <s v="USR00041"/>
    <s v="Card"/>
    <n v="19918.4752419537"/>
    <d v="2025-03-03T00:00:00"/>
    <s v="13:12:56"/>
    <x v="8"/>
    <s v="Android"/>
    <s v="Regular"/>
    <x v="1"/>
    <s v="MCH5066"/>
    <s v="Food"/>
    <n v="1781.49050594758"/>
    <n v="0"/>
    <s v="Pending"/>
    <n v="1"/>
    <s v="Chrome"/>
    <s v="UK"/>
    <n v="15.4529035880023"/>
    <n v="88.247019494313506"/>
    <s v="High"/>
    <n v="1781.49050594758"/>
  </r>
  <r>
    <s v="TXN000091"/>
    <s v="USR00054"/>
    <s v="Card"/>
    <n v="17446.1988026859"/>
    <d v="2025-03-03T00:00:00"/>
    <s v="21:18:33"/>
    <x v="2"/>
    <s v="Web"/>
    <s v="Premium "/>
    <x v="1"/>
    <s v="MCH8504"/>
    <s v="Food"/>
    <n v="4026.0622780907902"/>
    <n v="0"/>
    <s v="Failed"/>
    <n v="1"/>
    <s v="Firefox"/>
    <s v="UK"/>
    <n v="13.855682155982"/>
    <n v="72.128726897382705"/>
    <s v="Normal"/>
    <n v="4026.0622780907902"/>
  </r>
  <r>
    <s v="TXN000102"/>
    <s v="USR00190"/>
    <s v="UPI"/>
    <n v="34420.457383094501"/>
    <d v="2025-03-04T00:00:00"/>
    <s v="23:48:41"/>
    <x v="0"/>
    <s v="Android"/>
    <s v="Regular"/>
    <x v="0"/>
    <s v="MCH5895"/>
    <s v="Retail"/>
    <n v="486.35318277638999"/>
    <n v="0"/>
    <s v="Pending"/>
    <n v="2"/>
    <s v="Edge"/>
    <s v="US"/>
    <n v="-13.4443021229962"/>
    <n v="41.516358660410397"/>
    <s v="Low"/>
    <n v="486.35318277638999"/>
  </r>
  <r>
    <s v="TXN000342"/>
    <s v="USR00039"/>
    <s v="NetBanking"/>
    <n v="40009.122901506104"/>
    <d v="2025-03-05T00:00:00"/>
    <s v="16:05:03"/>
    <x v="3"/>
    <s v="Web"/>
    <s v="Regular"/>
    <x v="1"/>
    <s v="MCH9635"/>
    <s v="Travel"/>
    <n v="481.00246760767499"/>
    <n v="0"/>
    <s v="Failed"/>
    <n v="1"/>
    <s v="Unknown"/>
    <s v="UK"/>
    <n v="-25.7291858209148"/>
    <n v="8.7575573416174706"/>
    <s v="Low"/>
    <n v="481.00246760767499"/>
  </r>
  <r>
    <s v="TXN000068"/>
    <s v="USR00242"/>
    <s v="UPI"/>
    <n v="38468.995291638297"/>
    <d v="2025-03-06T00:00:00"/>
    <s v="06:14:20"/>
    <x v="4"/>
    <s v="Android"/>
    <s v="Premium "/>
    <x v="1"/>
    <s v="MCH4580"/>
    <s v="Utilities"/>
    <n v="4363.0104738719201"/>
    <n v="429.16146943942903"/>
    <s v="Success"/>
    <n v="0"/>
    <s v="Firefox"/>
    <s v="US"/>
    <n v="-29.695271221456402"/>
    <n v="88.278169962649699"/>
    <s v="High"/>
    <n v="3933.8490044324899"/>
  </r>
  <r>
    <s v="TXN000476"/>
    <s v="USR00099"/>
    <s v="N/A"/>
    <n v="29954.474307580898"/>
    <d v="2025-03-07T00:00:00"/>
    <s v="08:34:59"/>
    <x v="5"/>
    <s v="Web"/>
    <s v="Premium"/>
    <x v="0"/>
    <s v="MCH8977"/>
    <s v="Entertainment"/>
    <n v="4117.1257704058298"/>
    <n v="0"/>
    <s v="Success"/>
    <n v="1"/>
    <s v="Chrome"/>
    <s v="IN"/>
    <n v="-4.9255509722754303"/>
    <n v="88.7859349735553"/>
    <s v="High"/>
    <n v="4117.1257704058298"/>
  </r>
  <r>
    <s v="TXN000136"/>
    <s v="USR00236"/>
    <s v="NetBanking"/>
    <n v="23751.100077384799"/>
    <d v="2025-03-09T00:00:00"/>
    <s v="00:35:02"/>
    <x v="3"/>
    <s v="Android"/>
    <s v="New"/>
    <x v="1"/>
    <s v="MCH9644"/>
    <s v="Health"/>
    <n v="4561.9978930359603"/>
    <n v="0"/>
    <s v="Failed"/>
    <n v="4"/>
    <s v="Firefox"/>
    <s v="IN"/>
    <n v="-25.0357017907757"/>
    <n v="56.039895381994299"/>
    <s v="Normal"/>
    <n v="4561.9978930359603"/>
  </r>
  <r>
    <s v="TXN000345"/>
    <s v="USR00129"/>
    <s v="Card"/>
    <n v="31286.3017538475"/>
    <d v="2025-03-13T00:00:00"/>
    <s v="13:59:10"/>
    <x v="3"/>
    <s v="Android"/>
    <s v="New"/>
    <x v="0"/>
    <s v="MCH2015"/>
    <s v="Utilities"/>
    <n v="1074.93256274601"/>
    <n v="0"/>
    <s v="Pending"/>
    <n v="3"/>
    <s v="Edge"/>
    <s v="US"/>
    <n v="-8.6524123307404199"/>
    <n v="73.244145913044903"/>
    <s v="Normal"/>
    <n v="1074.93256274601"/>
  </r>
  <r>
    <s v="TXN000099"/>
    <s v="USR00044"/>
    <s v="Card"/>
    <n v="16146.9799575334"/>
    <d v="2025-03-13T00:00:00"/>
    <s v="10:06:30"/>
    <x v="3"/>
    <s v="Ios"/>
    <s v="Premium"/>
    <x v="1"/>
    <s v="MCH2073"/>
    <s v="Retail"/>
    <n v="4305.4139461476498"/>
    <n v="0"/>
    <s v="Pending"/>
    <n v="2"/>
    <s v="Unknown"/>
    <s v="IN"/>
    <n v="7.4515243737762198"/>
    <n v="3.1445955058947499"/>
    <s v="Low"/>
    <n v="4305.4139461476498"/>
  </r>
  <r>
    <s v="TXN000341"/>
    <s v="USR00128"/>
    <s v="Card"/>
    <n v="21396.7663763038"/>
    <d v="2025-03-13T00:00:00"/>
    <s v="21:44:32"/>
    <x v="9"/>
    <s v="Ios"/>
    <s v="Premium "/>
    <x v="1"/>
    <s v="MCH5873"/>
    <s v="Health"/>
    <n v="1833.95049826785"/>
    <n v="355.17575035616602"/>
    <s v="Failed"/>
    <n v="1"/>
    <s v="Chrome"/>
    <s v="IN"/>
    <n v="-10.035950760968699"/>
    <n v="81.108724620025797"/>
    <s v="High"/>
    <n v="1478.7747479116799"/>
  </r>
  <r>
    <s v="TXN000311"/>
    <s v="USR00069"/>
    <s v="NetBanking"/>
    <n v="30225.7044333339"/>
    <d v="2025-03-13T00:00:00"/>
    <s v="13:13:56"/>
    <x v="9"/>
    <s v="Ios"/>
    <s v="Premium "/>
    <x v="0"/>
    <s v="MCH6002"/>
    <s v="Entertainment"/>
    <n v="4110.6042363286497"/>
    <n v="414.09293466172602"/>
    <s v="Pending"/>
    <n v="0"/>
    <s v="Chrome"/>
    <s v="US"/>
    <n v="-14.9407676210358"/>
    <n v="22.427341824190499"/>
    <s v="Low"/>
    <n v="3696.5113016669202"/>
  </r>
  <r>
    <s v="TXN000397"/>
    <s v="USR00153"/>
    <s v="NetBanking"/>
    <n v="16859.706271776799"/>
    <d v="2025-03-14T00:00:00"/>
    <s v="05:33:00"/>
    <x v="4"/>
    <s v="Android"/>
    <s v="Premium"/>
    <x v="1"/>
    <s v="MCH3014"/>
    <s v="Travel"/>
    <n v="253.28745531250701"/>
    <n v="0"/>
    <s v="Failed"/>
    <n v="0"/>
    <s v="Edge"/>
    <s v="IN"/>
    <n v="24.0868097723028"/>
    <n v="89.789810477425206"/>
    <s v="High"/>
    <n v="253.28745531250701"/>
  </r>
  <r>
    <s v="TXN000078"/>
    <s v="USR00199"/>
    <s v="UPI"/>
    <n v="29279.828686862798"/>
    <d v="2025-03-14T00:00:00"/>
    <s v="20:28:25"/>
    <x v="4"/>
    <s v="Android"/>
    <s v="Premium "/>
    <x v="1"/>
    <s v="MCH8982"/>
    <s v="Food"/>
    <n v="1255.6770730299299"/>
    <n v="343.61717173034202"/>
    <s v="Success"/>
    <n v="0"/>
    <s v="Safari"/>
    <s v="IN"/>
    <n v="7.4375705659208604"/>
    <n v="75.596584893124799"/>
    <s v="Normal"/>
    <n v="912.05990129958798"/>
  </r>
  <r>
    <s v="TXN000236"/>
    <s v="USR00231"/>
    <s v="UPI"/>
    <n v="26639.688236439899"/>
    <d v="2025-03-15T00:00:00"/>
    <s v="09:20:41"/>
    <x v="8"/>
    <s v="Web"/>
    <s v="New"/>
    <x v="0"/>
    <s v="MCH3851"/>
    <s v="Health"/>
    <n v="4048.9349461357101"/>
    <n v="0"/>
    <s v="Success"/>
    <n v="2"/>
    <s v="Unknown"/>
    <s v="IN"/>
    <n v="-7.5875822211422701"/>
    <n v="67.054050650609099"/>
    <s v="Normal"/>
    <n v="4048.9349461357101"/>
  </r>
  <r>
    <s v="TXN000281"/>
    <s v="USR00081"/>
    <s v="UPI"/>
    <n v="7041.8980877387903"/>
    <d v="2025-03-16T00:00:00"/>
    <s v="23:20:34"/>
    <x v="0"/>
    <s v="Web"/>
    <s v="Premium"/>
    <x v="0"/>
    <s v="MCH2873"/>
    <s v="Health"/>
    <n v="3333.6445433726699"/>
    <n v="345.82170098665898"/>
    <s v="Pending"/>
    <n v="3"/>
    <s v="Edge"/>
    <s v="IN"/>
    <n v="10.5319421172034"/>
    <n v="3.33231994395085"/>
    <s v="Low"/>
    <n v="2987.8228423860101"/>
  </r>
  <r>
    <s v="TXN000363"/>
    <s v="USR00113"/>
    <s v="UPI"/>
    <n v="40057.4135971574"/>
    <d v="2025-03-17T00:00:00"/>
    <s v="11:59:56"/>
    <x v="0"/>
    <s v="Ios"/>
    <s v="Premium"/>
    <x v="1"/>
    <s v="MCH4809"/>
    <s v="Entertainment"/>
    <n v="1542.2421443210601"/>
    <n v="465.33612778119902"/>
    <s v="Success"/>
    <n v="4"/>
    <s v="Edge"/>
    <s v="UK"/>
    <n v="12.179503568809199"/>
    <n v="9.4953647418331002"/>
    <s v="Low"/>
    <n v="1076.90601653986"/>
  </r>
  <r>
    <s v="TXN000379"/>
    <s v="USR00148"/>
    <s v="NetBanking"/>
    <n v="49437.566219576598"/>
    <d v="2025-03-18T00:00:00"/>
    <s v="10:19:23"/>
    <x v="5"/>
    <s v="Ios"/>
    <s v="Premium"/>
    <x v="1"/>
    <s v="MCH5769"/>
    <s v="Retail"/>
    <n v="3472.5094846901002"/>
    <n v="0"/>
    <s v="Failed"/>
    <n v="0"/>
    <s v="Safari"/>
    <s v="US"/>
    <n v="20.542280029099299"/>
    <n v="96.881644148337699"/>
    <s v="High"/>
    <n v="3472.5094846901002"/>
  </r>
  <r>
    <s v="TXN000218"/>
    <s v="USR00045"/>
    <s v="Wallet"/>
    <n v="39996.902832883803"/>
    <d v="2025-03-18T00:00:00"/>
    <s v="21:13:06"/>
    <x v="4"/>
    <s v="Web"/>
    <s v="Regular"/>
    <x v="0"/>
    <s v="MCH5922"/>
    <s v="Entertainment"/>
    <n v="4300.86907770159"/>
    <n v="231.99270872019"/>
    <s v="Failed"/>
    <n v="0"/>
    <s v="N/A"/>
    <s v="IN"/>
    <n v="19.4902295637444"/>
    <n v="29.363239175987399"/>
    <s v="Low"/>
    <n v="4068.8763689814"/>
  </r>
  <r>
    <s v="TXN000317"/>
    <s v="USR00240"/>
    <s v="UPI"/>
    <n v="24093.765206644799"/>
    <d v="2025-03-20T00:00:00"/>
    <s v="14:03:19"/>
    <x v="0"/>
    <s v="Web"/>
    <s v="Premium"/>
    <x v="0"/>
    <s v="MCH8392"/>
    <s v="Food"/>
    <n v="3459.6119927704399"/>
    <n v="0"/>
    <s v="Pending"/>
    <n v="2"/>
    <s v="Unknown"/>
    <s v="IN"/>
    <n v="4.7859874460563896"/>
    <n v="56.4194791798745"/>
    <s v="Normal"/>
    <n v="3459.6119927704399"/>
  </r>
  <r>
    <s v="TXN000270"/>
    <s v="USR00241"/>
    <s v="UPI"/>
    <n v="28318.866531416399"/>
    <d v="2025-03-20T00:00:00"/>
    <s v="20:35:11"/>
    <x v="3"/>
    <s v="Web"/>
    <s v="Premium"/>
    <x v="1"/>
    <s v="MCH3581"/>
    <s v="Utilities"/>
    <n v="4398.1585220725601"/>
    <n v="0"/>
    <s v="Failed"/>
    <n v="0"/>
    <s v="Firefox"/>
    <s v="UK"/>
    <n v="25.319248557910399"/>
    <n v="90.585019209879604"/>
    <s v="High"/>
    <n v="4398.1585220725601"/>
  </r>
  <r>
    <s v="TXN000366"/>
    <s v="USR00048"/>
    <s v="NetBanking"/>
    <n v="43362.988624575002"/>
    <d v="2025-03-21T00:00:00"/>
    <s v="23:43:41"/>
    <x v="0"/>
    <s v="Ios"/>
    <s v="New"/>
    <x v="0"/>
    <s v="MCH8206"/>
    <s v="Health"/>
    <n v="4456.6712778890696"/>
    <n v="12.322202318161301"/>
    <s v="Success"/>
    <n v="0"/>
    <s v="Edge"/>
    <s v="UK"/>
    <n v="-4.1003871513729901"/>
    <n v="97.742294771374802"/>
    <s v="High"/>
    <n v="4444.3490755709099"/>
  </r>
  <r>
    <s v="TXN000164"/>
    <s v="USR00216"/>
    <s v="Card"/>
    <n v="34878.376972084399"/>
    <d v="2025-03-22T00:00:00"/>
    <s v="06:31:32"/>
    <x v="10"/>
    <s v="Android"/>
    <s v="New"/>
    <x v="0"/>
    <s v="MCH5051"/>
    <s v="Health"/>
    <n v="3744.4962773505399"/>
    <n v="0"/>
    <s v="Success"/>
    <n v="1"/>
    <s v="Unknown"/>
    <s v="UK"/>
    <n v="-25.611449431303001"/>
    <n v="17.964531586413202"/>
    <s v="Low"/>
    <n v="3744.4962773505399"/>
  </r>
  <r>
    <s v="TXN000020"/>
    <s v="USR00131"/>
    <s v="Wallet"/>
    <n v="26763.8791239702"/>
    <d v="2025-03-23T00:00:00"/>
    <s v="04:11:36"/>
    <x v="5"/>
    <s v="Ios"/>
    <s v="Premium "/>
    <x v="1"/>
    <s v="MCH8616"/>
    <s v="Retail"/>
    <n v="1815.0280634565499"/>
    <n v="144.863991869107"/>
    <s v="Success"/>
    <n v="2"/>
    <s v="Unknown"/>
    <s v="IN"/>
    <n v="1.4492800616853601"/>
    <n v="22.208218820898999"/>
    <s v="Low"/>
    <n v="1670.16407158744"/>
  </r>
  <r>
    <s v="TXN000441"/>
    <s v="USR00027"/>
    <s v="Wallet"/>
    <n v="24764.265121899702"/>
    <d v="2025-03-23T00:00:00"/>
    <s v="20:20:29"/>
    <x v="4"/>
    <s v="Web"/>
    <s v="Regular"/>
    <x v="1"/>
    <s v="MCH3575"/>
    <s v="Food"/>
    <n v="4686.78655147478"/>
    <n v="331.11607916479602"/>
    <s v="Pending"/>
    <n v="3"/>
    <s v="Chrome"/>
    <s v="IN"/>
    <n v="23.0240033298832"/>
    <n v="9.2345838945432206"/>
    <s v="Low"/>
    <n v="4355.6704723099801"/>
  </r>
  <r>
    <s v="TXN000214"/>
    <s v="USR00086"/>
    <s v="NetBanking"/>
    <n v="2499.92273380798"/>
    <d v="2025-03-23T00:00:00"/>
    <s v="19:28:51"/>
    <x v="3"/>
    <s v="Ios"/>
    <s v="Premium"/>
    <x v="0"/>
    <s v="MCH3345"/>
    <s v="Retail"/>
    <n v="2023.28034635467"/>
    <n v="0"/>
    <s v="Success"/>
    <n v="4"/>
    <s v="Chrome"/>
    <s v="IN"/>
    <n v="-26.972665762792602"/>
    <n v="63.247220241147701"/>
    <s v="Normal"/>
    <n v="2023.28034635467"/>
  </r>
  <r>
    <s v="TXN000407"/>
    <s v="USR00189"/>
    <s v="UPI"/>
    <n v="48729.908533423601"/>
    <d v="2025-03-25T00:00:00"/>
    <s v="20:19:25"/>
    <x v="2"/>
    <s v="Ios"/>
    <s v="Premium "/>
    <x v="0"/>
    <s v="MCH5651"/>
    <s v="Retail"/>
    <n v="3325.43403513267"/>
    <n v="0"/>
    <s v="Success"/>
    <n v="1"/>
    <s v="Firefox"/>
    <s v="US"/>
    <n v="4.9541345528886804"/>
    <n v="3.5892751188932399"/>
    <s v="Low"/>
    <n v="3325.43403513267"/>
  </r>
  <r>
    <s v="TXN000285"/>
    <s v="USR00130"/>
    <s v="UPI"/>
    <n v="29688.848972415199"/>
    <d v="2025-03-25T00:00:00"/>
    <s v="20:07:45"/>
    <x v="4"/>
    <s v="Ios"/>
    <s v="Premium"/>
    <x v="1"/>
    <s v="MCH2859"/>
    <s v="Food"/>
    <n v="1141.5184963264101"/>
    <n v="0"/>
    <s v="Pending"/>
    <n v="0"/>
    <s v="Chrome"/>
    <s v="US"/>
    <n v="-29.188963698016799"/>
    <n v="25.008246891394201"/>
    <s v="Low"/>
    <n v="1141.5184963264101"/>
  </r>
  <r>
    <s v="TXN000295"/>
    <s v="USR00130"/>
    <s v="Wallet"/>
    <n v="5301.9236059852901"/>
    <d v="2025-03-25T00:00:00"/>
    <s v="10:36:32"/>
    <x v="5"/>
    <s v="Android"/>
    <s v="Premium "/>
    <x v="1"/>
    <s v="MCH6953"/>
    <s v="Utilities"/>
    <n v="3544.48337107103"/>
    <n v="52.156543675941101"/>
    <s v="Failed"/>
    <n v="2"/>
    <s v="Firefox"/>
    <s v="US"/>
    <n v="9.2862428161252897"/>
    <n v="1.4515094527608801"/>
    <s v="Low"/>
    <n v="3492.3268273950898"/>
  </r>
  <r>
    <s v="TXN000412"/>
    <s v="USR00033"/>
    <s v="NetBanking"/>
    <n v="23606.166089421298"/>
    <d v="2025-03-25T00:00:00"/>
    <s v="13:26:40"/>
    <x v="4"/>
    <s v="Android"/>
    <s v="Premium"/>
    <x v="0"/>
    <s v="MCH7998"/>
    <s v="Retail"/>
    <n v="182.99488752242999"/>
    <n v="213.447363911651"/>
    <s v="Success"/>
    <n v="2"/>
    <s v="Unknown"/>
    <s v="IN"/>
    <n v="-29.519511559573001"/>
    <n v="27.052178017184701"/>
    <s v="Low"/>
    <n v="0"/>
  </r>
  <r>
    <s v="TXN000009"/>
    <s v="USR00103"/>
    <s v="NetBanking"/>
    <n v="18899.274599903201"/>
    <d v="2025-03-27T00:00:00"/>
    <s v="11:55:35"/>
    <x v="1"/>
    <s v="Web"/>
    <s v="Premium "/>
    <x v="0"/>
    <s v="MCH5298"/>
    <s v="Health"/>
    <n v="1081.57788941074"/>
    <n v="0"/>
    <s v="Failed"/>
    <n v="2"/>
    <s v="N/A"/>
    <s v="US"/>
    <n v="-26.503481906365501"/>
    <n v="22.377838627097599"/>
    <s v="Low"/>
    <n v="1081.57788941074"/>
  </r>
  <r>
    <s v="TXN000368"/>
    <s v="USR00197"/>
    <s v="Wallet"/>
    <n v="27630.957503441099"/>
    <d v="2025-03-27T00:00:00"/>
    <s v="02:54:27"/>
    <x v="8"/>
    <s v="Ios"/>
    <s v="Regular"/>
    <x v="1"/>
    <s v="MCH5673"/>
    <s v="Utilities"/>
    <n v="68.993870263614397"/>
    <n v="0"/>
    <s v="Failed"/>
    <n v="3"/>
    <s v="Firefox"/>
    <s v="UK"/>
    <n v="20.5769995883464"/>
    <n v="44.510666371799402"/>
    <s v="Low"/>
    <n v="68.993870263614397"/>
  </r>
  <r>
    <s v="TXN000496"/>
    <s v="USR00024"/>
    <s v="NetBanking"/>
    <n v="31897.855831495399"/>
    <d v="2025-03-28T00:00:00"/>
    <s v="16:29:08"/>
    <x v="2"/>
    <s v="Android"/>
    <s v="Regular"/>
    <x v="1"/>
    <s v="MCH5837"/>
    <s v="Retail"/>
    <n v="1434.1997765413701"/>
    <n v="0"/>
    <s v="Failed"/>
    <n v="4"/>
    <s v="Unknown"/>
    <s v="IN"/>
    <n v="-9.0248882529364796"/>
    <n v="39.672760046838597"/>
    <s v="Low"/>
    <n v="1434.1997765413701"/>
  </r>
  <r>
    <s v="TXN000423"/>
    <s v="USR00128"/>
    <s v="Wallet"/>
    <n v="45038.557831695703"/>
    <d v="2025-03-28T00:00:00"/>
    <s v="08:35:36"/>
    <x v="1"/>
    <s v="Ios"/>
    <s v="New"/>
    <x v="0"/>
    <s v="MCH6229"/>
    <s v="Food"/>
    <n v="3419.3282474674002"/>
    <n v="0"/>
    <s v="Pending"/>
    <n v="2"/>
    <s v="Firefox"/>
    <s v="US"/>
    <n v="25.999765146980799"/>
    <n v="13.698222230952799"/>
    <s v="Low"/>
    <n v="3419.3282474674002"/>
  </r>
  <r>
    <s v="TXN000361"/>
    <s v="USR00244"/>
    <s v="NetBanking"/>
    <n v="44881.777449962297"/>
    <d v="2025-03-29T00:00:00"/>
    <s v="03:05:40"/>
    <x v="10"/>
    <s v="Android"/>
    <s v="Regular"/>
    <x v="0"/>
    <s v="MCH2881"/>
    <s v="Travel"/>
    <n v="4389.2384437286601"/>
    <n v="131.77573974838899"/>
    <s v="Failed"/>
    <n v="2"/>
    <s v="Safari"/>
    <s v="UK"/>
    <n v="-26.693421603560001"/>
    <n v="62.854403087886098"/>
    <s v="Normal"/>
    <n v="4257.4627039802699"/>
  </r>
  <r>
    <s v="TXN000134"/>
    <s v="USR00088"/>
    <s v="Wallet"/>
    <n v="11737.4989363351"/>
    <d v="2025-03-30T00:00:00"/>
    <s v="06:44:45"/>
    <x v="4"/>
    <s v="Android"/>
    <s v="Premium "/>
    <x v="1"/>
    <s v="MCH7316"/>
    <s v="Utilities"/>
    <n v="2934.0117978998101"/>
    <n v="493.68423615609998"/>
    <s v="Pending"/>
    <n v="3"/>
    <s v="Chrome"/>
    <s v="US"/>
    <n v="8.1563746044860199"/>
    <n v="9.9985247483776707"/>
    <s v="Low"/>
    <n v="2440.3275617437098"/>
  </r>
  <r>
    <s v="TXN000386"/>
    <s v="USR00075"/>
    <s v="Wallet"/>
    <n v="16267.1040492293"/>
    <d v="2025-03-31T00:00:00"/>
    <s v="23:48:18"/>
    <x v="3"/>
    <s v="Ios"/>
    <s v="Regular"/>
    <x v="1"/>
    <s v="MCH5535"/>
    <s v="Entertainment"/>
    <n v="1531.1984212902501"/>
    <n v="0"/>
    <s v="Failed"/>
    <n v="0"/>
    <s v="Chrome"/>
    <s v="UK"/>
    <n v="10.6186051386617"/>
    <n v="69.329746855149196"/>
    <s v="Normal"/>
    <n v="1531.1984212902501"/>
  </r>
  <r>
    <s v="TXN000159"/>
    <s v="USR00033"/>
    <s v="UPI"/>
    <n v="40312.657848383104"/>
    <d v="2025-03-31T00:00:00"/>
    <s v="07:53:04"/>
    <x v="7"/>
    <s v="Android"/>
    <s v="Regular"/>
    <x v="1"/>
    <s v="MCH6054"/>
    <s v="Retail"/>
    <n v="729.94064254493696"/>
    <n v="0"/>
    <s v="Pending"/>
    <n v="3"/>
    <s v="Safari"/>
    <s v="US"/>
    <n v="21.508215155895801"/>
    <n v="5.4787047923548799"/>
    <s v="Low"/>
    <n v="729.94064254493696"/>
  </r>
  <r>
    <s v="TXN000291"/>
    <s v="USR00225"/>
    <s v="NetBanking"/>
    <n v="38585.208759134897"/>
    <d v="2025-04-02T00:00:00"/>
    <s v="20:14:51"/>
    <x v="5"/>
    <s v="Ios"/>
    <s v="Regular"/>
    <x v="1"/>
    <s v="MCH9681"/>
    <s v="Food"/>
    <n v="3686.8074228118799"/>
    <n v="0"/>
    <s v="Success"/>
    <n v="1"/>
    <s v="Chrome"/>
    <s v="US"/>
    <n v="13.0031151460585"/>
    <n v="66.144781661310105"/>
    <s v="Normal"/>
    <n v="3686.8074228118799"/>
  </r>
  <r>
    <s v="TXN000369"/>
    <s v="USR00037"/>
    <s v="Wallet"/>
    <n v="12769.039345760901"/>
    <d v="2025-04-02T00:00:00"/>
    <s v="13:55:09"/>
    <x v="4"/>
    <s v="Web"/>
    <s v="Premium"/>
    <x v="0"/>
    <s v="MCH2409"/>
    <s v="Travel"/>
    <n v="2534.9405788089498"/>
    <n v="0"/>
    <s v="Failed"/>
    <n v="1"/>
    <s v="Safari"/>
    <s v="US"/>
    <n v="1.2273655283629801"/>
    <n v="11.3135937674024"/>
    <s v="Low"/>
    <n v="2534.9405788089498"/>
  </r>
  <r>
    <s v="TXN000186"/>
    <s v="USR00207"/>
    <s v="NetBanking"/>
    <n v="4455.7799615248096"/>
    <d v="2025-04-02T00:00:00"/>
    <s v="13:19:17"/>
    <x v="2"/>
    <s v="Android"/>
    <s v="Regular"/>
    <x v="1"/>
    <s v="MCH4561"/>
    <s v="Entertainment"/>
    <n v="411.367784853155"/>
    <n v="0"/>
    <s v="Failed"/>
    <n v="2"/>
    <s v="Edge"/>
    <s v="UK"/>
    <n v="25.7644539642124"/>
    <n v="88.931875992831905"/>
    <s v="High"/>
    <n v="411.367784853155"/>
  </r>
  <r>
    <s v="TXN000453"/>
    <s v="USR00147"/>
    <s v="Card"/>
    <n v="41870.241636081199"/>
    <d v="2025-04-03T00:00:00"/>
    <s v="23:33:21"/>
    <x v="4"/>
    <s v="Web"/>
    <s v="Premium "/>
    <x v="1"/>
    <s v="MCH6231"/>
    <s v="Utilities"/>
    <n v="4264.4584520627996"/>
    <n v="0"/>
    <s v="Success"/>
    <n v="3"/>
    <s v="Unknown"/>
    <s v="IN"/>
    <n v="-10.523472114183299"/>
    <n v="20.619707925520199"/>
    <s v="Low"/>
    <n v="4264.4584520627996"/>
  </r>
  <r>
    <s v="TXN000314"/>
    <s v="USR00198"/>
    <s v="Wallet"/>
    <n v="43189.555216586603"/>
    <d v="2025-04-03T00:00:00"/>
    <s v="18:30:54"/>
    <x v="7"/>
    <s v="Android"/>
    <s v="Regular"/>
    <x v="0"/>
    <s v="MCH4398"/>
    <s v="Utilities"/>
    <n v="4635.2259707599196"/>
    <n v="313.02735449040102"/>
    <s v="Pending"/>
    <n v="1"/>
    <s v="Safari"/>
    <s v="UK"/>
    <n v="0.11041455333830499"/>
    <n v="74.667096478663694"/>
    <s v="Normal"/>
    <n v="4322.1986162695202"/>
  </r>
  <r>
    <s v="TXN000350"/>
    <s v="USR00178"/>
    <s v="Card"/>
    <n v="35731.5540695124"/>
    <d v="2025-04-05T00:00:00"/>
    <s v="16:29:53"/>
    <x v="5"/>
    <s v="Ios"/>
    <s v="Premium "/>
    <x v="1"/>
    <s v="MCH2260"/>
    <s v="Travel"/>
    <n v="1265.4755984252299"/>
    <n v="0"/>
    <s v="Failed"/>
    <n v="2"/>
    <s v="Edge"/>
    <s v="IN"/>
    <n v="-12.0682086727879"/>
    <n v="44.676983446825197"/>
    <s v="Low"/>
    <n v="1265.4755984252299"/>
  </r>
  <r>
    <s v="TXN000470"/>
    <s v="USR00024"/>
    <s v="Card"/>
    <n v="31204.294290159"/>
    <d v="2025-04-06T00:00:00"/>
    <s v="22:02:03"/>
    <x v="1"/>
    <s v="Ios"/>
    <s v="Regular"/>
    <x v="1"/>
    <s v="MCH4512"/>
    <s v="Food"/>
    <n v="1566.0260406728401"/>
    <n v="0"/>
    <s v="Pending"/>
    <n v="0"/>
    <s v="Firefox"/>
    <s v="UK"/>
    <n v="-18.255238227110102"/>
    <n v="26.9052228742163"/>
    <s v="Low"/>
    <n v="1566.0260406728401"/>
  </r>
  <r>
    <s v="TXN000053"/>
    <s v="USR00244"/>
    <s v="Card"/>
    <n v="49025.089982109603"/>
    <d v="2025-04-06T00:00:00"/>
    <s v="13:52:47"/>
    <x v="4"/>
    <s v="Android"/>
    <s v="Premium "/>
    <x v="1"/>
    <s v="MCH9869"/>
    <s v="Retail"/>
    <n v="1652.4675867716001"/>
    <n v="158.45206886031201"/>
    <s v="Failed"/>
    <n v="1"/>
    <s v="Chrome"/>
    <s v="UK"/>
    <n v="-23.2038148161189"/>
    <n v="18.949014589960399"/>
    <s v="Low"/>
    <n v="1494.0155179112901"/>
  </r>
  <r>
    <s v="TXN000030"/>
    <s v="USR00188"/>
    <s v="UPI"/>
    <n v="13809.116671592899"/>
    <d v="2025-04-08T00:00:00"/>
    <s v="18:13:11"/>
    <x v="1"/>
    <s v="Web"/>
    <s v="Regular"/>
    <x v="1"/>
    <s v="MCH7078"/>
    <s v="Health"/>
    <n v="1901.0383156713799"/>
    <n v="0"/>
    <s v="Pending"/>
    <n v="3"/>
    <s v="Edge"/>
    <s v="IN"/>
    <n v="20.301174242940998"/>
    <n v="37.430599340632497"/>
    <s v="Low"/>
    <n v="1901.0383156713799"/>
  </r>
  <r>
    <s v="TXN000138"/>
    <s v="USR00216"/>
    <s v="NetBanking"/>
    <n v="32476.259730549598"/>
    <d v="2025-04-08T00:00:00"/>
    <s v="05:40:38"/>
    <x v="2"/>
    <s v="Android"/>
    <s v="New"/>
    <x v="0"/>
    <s v="MCH2657"/>
    <s v="Food"/>
    <n v="328.00194902139998"/>
    <n v="0"/>
    <s v="Failed"/>
    <n v="0"/>
    <s v="Edge"/>
    <s v="US"/>
    <n v="-12.399082399794599"/>
    <n v="79.578673117650197"/>
    <s v="Normal"/>
    <n v="328.00194902139998"/>
  </r>
  <r>
    <s v="TXN000120"/>
    <s v="USR00024"/>
    <s v="NetBanking"/>
    <n v="34389.558719626199"/>
    <d v="2025-04-09T00:00:00"/>
    <s v="16:34:43"/>
    <x v="10"/>
    <s v="Android"/>
    <s v="Regular"/>
    <x v="1"/>
    <s v="MCH4575"/>
    <s v="Travel"/>
    <n v="1555.9972259446199"/>
    <n v="146.95838025246701"/>
    <s v="Failed"/>
    <n v="0"/>
    <s v="Chrome"/>
    <s v="UK"/>
    <n v="-19.452971050177101"/>
    <n v="16.939649963157901"/>
    <s v="Low"/>
    <n v="1409.0388456921501"/>
  </r>
  <r>
    <s v="TXN000276"/>
    <s v="USR00131"/>
    <s v="UPI"/>
    <n v="11444.8140531964"/>
    <d v="2025-04-09T00:00:00"/>
    <s v="17:54:08"/>
    <x v="3"/>
    <s v="Ios"/>
    <s v="Premium "/>
    <x v="1"/>
    <s v="MCH9339"/>
    <s v="Health"/>
    <n v="1011.65417645892"/>
    <n v="0"/>
    <s v="Success"/>
    <n v="1"/>
    <s v="N/A"/>
    <s v="UK"/>
    <n v="-9.0117987293052408"/>
    <n v="13.174379963196399"/>
    <s v="Low"/>
    <n v="1011.65417645892"/>
  </r>
  <r>
    <s v="TXN000494"/>
    <s v="USR00104"/>
    <s v="Card"/>
    <n v="37975.888692388602"/>
    <d v="2025-04-10T00:00:00"/>
    <s v="13:55:37"/>
    <x v="2"/>
    <s v="Web"/>
    <s v="Regular"/>
    <x v="0"/>
    <s v="MCH1941"/>
    <s v="Retail"/>
    <n v="1281.65418374866"/>
    <n v="419.419668382635"/>
    <s v="Failed"/>
    <n v="2"/>
    <s v="Unknown"/>
    <s v="IN"/>
    <n v="-28.2857449365594"/>
    <n v="12.2628049978007"/>
    <s v="Low"/>
    <n v="862.23451536602499"/>
  </r>
  <r>
    <s v="TXN000357"/>
    <s v="USR00144"/>
    <s v="UPI"/>
    <n v="16784.704284393101"/>
    <d v="2025-04-12T00:00:00"/>
    <s v="09:04:35"/>
    <x v="2"/>
    <s v="Android"/>
    <s v="New"/>
    <x v="1"/>
    <s v="MCH7155"/>
    <s v="Entertainment"/>
    <n v="1239.08619438151"/>
    <n v="0"/>
    <s v="Failed"/>
    <n v="0"/>
    <s v="Chrome"/>
    <s v="UK"/>
    <n v="-21.0910090196829"/>
    <n v="31.600472286639398"/>
    <s v="Low"/>
    <n v="1239.08619438151"/>
  </r>
  <r>
    <s v="TXN000382"/>
    <s v="USR00120"/>
    <s v="Wallet"/>
    <n v="48136.200995888197"/>
    <d v="2025-04-13T00:00:00"/>
    <s v="11:55:13"/>
    <x v="4"/>
    <s v="Web"/>
    <s v="Regular"/>
    <x v="1"/>
    <s v="MCH7135"/>
    <s v="Travel"/>
    <n v="4155.4564932047497"/>
    <n v="323.15496682869099"/>
    <s v="Success"/>
    <n v="4"/>
    <s v="Unknown"/>
    <s v="US"/>
    <n v="20.014446578744199"/>
    <n v="66.350206940525695"/>
    <s v="Normal"/>
    <n v="3832.3015263760599"/>
  </r>
  <r>
    <s v="TXN000022"/>
    <s v="USR00053"/>
    <s v="UPI"/>
    <n v="45666.971037656403"/>
    <d v="2025-04-13T00:00:00"/>
    <s v="11:55:27"/>
    <x v="10"/>
    <s v="Android"/>
    <s v="Regular"/>
    <x v="1"/>
    <s v="MCH3866"/>
    <s v="Health"/>
    <n v="249.43028138598399"/>
    <n v="0"/>
    <s v="Success"/>
    <n v="4"/>
    <s v="Chrome"/>
    <s v="UK"/>
    <n v="-27.721441945823599"/>
    <n v="60.8350046531679"/>
    <s v="Normal"/>
    <n v="249.43028138598399"/>
  </r>
  <r>
    <s v="TXN000140"/>
    <s v="USR00139"/>
    <s v="UPI"/>
    <n v="29251.554287236999"/>
    <d v="2025-04-15T00:00:00"/>
    <s v="01:59:04"/>
    <x v="10"/>
    <s v="Android"/>
    <s v="Regular"/>
    <x v="1"/>
    <s v="MCH7763"/>
    <s v="Entertainment"/>
    <n v="2661.4400625471299"/>
    <n v="0"/>
    <s v="Success"/>
    <n v="3"/>
    <s v="Chrome"/>
    <s v="US"/>
    <n v="-3.6833138436213799"/>
    <n v="0.65254104288869896"/>
    <s v="Low"/>
    <n v="2661.4400625471299"/>
  </r>
  <r>
    <s v="TXN000471"/>
    <s v="USR00093"/>
    <s v="NetBanking"/>
    <n v="23764.441704148401"/>
    <d v="2025-04-15T00:00:00"/>
    <s v="14:37:14"/>
    <x v="4"/>
    <s v="Web"/>
    <s v="Regular"/>
    <x v="0"/>
    <s v="MCH2499"/>
    <s v="Utilities"/>
    <n v="1362.1523574759301"/>
    <n v="0"/>
    <s v="Success"/>
    <n v="2"/>
    <s v="N/A"/>
    <s v="IN"/>
    <n v="19.604545714551399"/>
    <n v="81.188964356831704"/>
    <s v="High"/>
    <n v="1362.1523574759301"/>
  </r>
  <r>
    <s v="TXN000390"/>
    <s v="USR00166"/>
    <s v="UPI"/>
    <n v="42421.591963797502"/>
    <d v="2025-04-16T00:00:00"/>
    <s v="03:41:56"/>
    <x v="4"/>
    <s v="Android"/>
    <s v="Regular"/>
    <x v="1"/>
    <s v="MCH1662"/>
    <s v="Entertainment"/>
    <n v="3991.6882839048999"/>
    <n v="0"/>
    <s v="Pending"/>
    <n v="1"/>
    <s v="Firefox"/>
    <s v="UK"/>
    <n v="29.0239112398204"/>
    <n v="87.992956363837393"/>
    <s v="High"/>
    <n v="3991.6882839048999"/>
  </r>
  <r>
    <s v="TXN000106"/>
    <s v="USR00048"/>
    <s v="Wallet"/>
    <n v="229.491716743963"/>
    <d v="2025-04-17T00:00:00"/>
    <s v="11:55:44"/>
    <x v="1"/>
    <s v="Web"/>
    <s v="Regular"/>
    <x v="1"/>
    <s v="MCH4907"/>
    <s v="Travel"/>
    <n v="3198.4343445786799"/>
    <n v="0"/>
    <s v="Failed"/>
    <n v="2"/>
    <s v="Safari"/>
    <s v="UK"/>
    <n v="18.464357592042902"/>
    <n v="97.430496311047705"/>
    <s v="High"/>
    <n v="3198.4343445786799"/>
  </r>
  <r>
    <s v="TXN000027"/>
    <s v="USR00038"/>
    <s v="Wallet"/>
    <n v="12130.133133248601"/>
    <d v="2025-04-18T00:00:00"/>
    <s v="00:54:34"/>
    <x v="4"/>
    <s v="Web"/>
    <s v="New"/>
    <x v="1"/>
    <s v="MCH5006"/>
    <s v="Utilities"/>
    <n v="4028.5884182582199"/>
    <n v="205.572168239993"/>
    <s v="Failed"/>
    <n v="3"/>
    <s v="Firefox"/>
    <s v="IN"/>
    <n v="-27.4097825482235"/>
    <n v="99.758259294597195"/>
    <s v="High"/>
    <n v="3823.01625001823"/>
  </r>
  <r>
    <s v="TXN000043"/>
    <s v="USR00188"/>
    <s v="Card"/>
    <n v="4511.57034594577"/>
    <d v="2025-04-18T00:00:00"/>
    <s v="05:04:46"/>
    <x v="10"/>
    <s v="Web"/>
    <s v="New"/>
    <x v="1"/>
    <s v="MCH6558"/>
    <s v="Health"/>
    <n v="1072.5760302978099"/>
    <n v="477.33317843953398"/>
    <s v="Failed"/>
    <n v="1"/>
    <s v="N/A"/>
    <s v="US"/>
    <n v="13.439349854141501"/>
    <n v="60.251136357472902"/>
    <s v="Normal"/>
    <n v="595.24285185827603"/>
  </r>
  <r>
    <s v="TXN000409"/>
    <s v="USR00228"/>
    <s v="NetBanking"/>
    <n v="5800.4725034277999"/>
    <d v="2025-04-21T00:00:00"/>
    <s v="21:14:55"/>
    <x v="8"/>
    <s v="Android"/>
    <s v="Premium"/>
    <x v="1"/>
    <s v="MCH8940"/>
    <s v="Food"/>
    <n v="608.57377655892606"/>
    <n v="0"/>
    <s v="Success"/>
    <n v="0"/>
    <s v="Firefox"/>
    <s v="US"/>
    <n v="21.231959611512199"/>
    <n v="35.201658250187798"/>
    <s v="Low"/>
    <n v="608.57377655892606"/>
  </r>
  <r>
    <s v="TXN000225"/>
    <s v="USR00108"/>
    <s v="Wallet"/>
    <n v="29456.503122173301"/>
    <d v="2025-04-23T00:00:00"/>
    <s v="12:20:25"/>
    <x v="3"/>
    <s v="Web"/>
    <s v="New"/>
    <x v="1"/>
    <s v="MCH3059"/>
    <s v="Food"/>
    <n v="4959.8515199400799"/>
    <n v="0"/>
    <s v="Failed"/>
    <n v="3"/>
    <s v="Chrome"/>
    <s v="IN"/>
    <n v="2.8443843600735099"/>
    <n v="95.464016071623107"/>
    <s v="High"/>
    <n v="4959.8515199400799"/>
  </r>
  <r>
    <s v="TXN000165"/>
    <s v="USR00037"/>
    <s v="UPI"/>
    <n v="49863.051184942902"/>
    <d v="2025-04-24T00:00:00"/>
    <s v="20:15:11"/>
    <x v="0"/>
    <s v="Web"/>
    <s v="Premium "/>
    <x v="0"/>
    <s v="MCH3197"/>
    <s v="Travel"/>
    <n v="1592.2801109320301"/>
    <n v="0"/>
    <s v="Pending"/>
    <n v="2"/>
    <s v="Edge"/>
    <s v="UK"/>
    <n v="15.8786143568467"/>
    <n v="95.959420502774094"/>
    <s v="High"/>
    <n v="1592.2801109320301"/>
  </r>
  <r>
    <s v="TXN000171"/>
    <s v="USR00035"/>
    <s v="NetBanking"/>
    <n v="24588.364085013302"/>
    <d v="2025-04-25T00:00:00"/>
    <s v="08:00:10"/>
    <x v="3"/>
    <s v="Ios"/>
    <s v="Premium"/>
    <x v="0"/>
    <s v="MCH3123"/>
    <s v="Retail"/>
    <n v="2419.5890469293399"/>
    <n v="137.332934893953"/>
    <s v="Success"/>
    <n v="3"/>
    <s v="Safari"/>
    <s v="UK"/>
    <n v="-20.125311317189801"/>
    <n v="72.697791952843104"/>
    <s v="Normal"/>
    <n v="2282.2561120353898"/>
  </r>
  <r>
    <s v="TXN000380"/>
    <s v="USR00152"/>
    <s v="Card"/>
    <n v="30199.550368631299"/>
    <d v="2025-04-26T00:00:00"/>
    <s v="14:47:06"/>
    <x v="3"/>
    <s v="Ios"/>
    <s v="Regular"/>
    <x v="1"/>
    <s v="MCH6247"/>
    <s v="Retail"/>
    <n v="1345.66794566569"/>
    <n v="0"/>
    <s v="Pending"/>
    <n v="0"/>
    <s v="Unknown"/>
    <s v="IN"/>
    <n v="15.6363948834037"/>
    <n v="99.189285731964205"/>
    <s v="High"/>
    <n v="1345.66794566569"/>
  </r>
  <r>
    <s v="TXN000473"/>
    <s v="USR00046"/>
    <s v="UPI"/>
    <n v="17641.8540405975"/>
    <d v="2025-04-27T00:00:00"/>
    <s v="20:52:45"/>
    <x v="4"/>
    <s v="Android"/>
    <s v="Regular"/>
    <x v="0"/>
    <s v="MCH6162"/>
    <s v="Food"/>
    <n v="1004.70931501359"/>
    <n v="0"/>
    <s v="Success"/>
    <n v="2"/>
    <s v="Unknown"/>
    <s v="UK"/>
    <n v="-12.455094966945101"/>
    <n v="5.2756614832090802"/>
    <s v="Low"/>
    <n v="1004.70931501359"/>
  </r>
  <r>
    <s v="TXN000339"/>
    <s v="USR00161"/>
    <s v="UPI"/>
    <n v="15565.8526208037"/>
    <d v="2025-04-27T00:00:00"/>
    <s v="16:58:27"/>
    <x v="10"/>
    <s v="Ios"/>
    <s v="Regular"/>
    <x v="0"/>
    <s v="MCH8845"/>
    <s v="Travel"/>
    <n v="4275.5900172584998"/>
    <n v="305.188029890846"/>
    <s v="Success"/>
    <n v="4"/>
    <s v="Chrome"/>
    <s v="UK"/>
    <n v="0.79020097983386295"/>
    <n v="30.9559301513073"/>
    <s v="Low"/>
    <n v="3970.4019873676498"/>
  </r>
  <r>
    <s v="TXN000013"/>
    <s v="USR00075"/>
    <s v="Card"/>
    <n v="28497.165311370802"/>
    <d v="2025-04-27T00:00:00"/>
    <s v="09:28:09"/>
    <x v="5"/>
    <s v="Web"/>
    <s v="Premium"/>
    <x v="0"/>
    <s v="MCH7009"/>
    <s v="Travel"/>
    <n v="332.72995868369401"/>
    <n v="62.821746206157002"/>
    <s v="Failed"/>
    <n v="2"/>
    <s v="Edge"/>
    <s v="UK"/>
    <n v="-29.460080563004599"/>
    <n v="73.427203053071494"/>
    <s v="Normal"/>
    <n v="269.90821247753701"/>
  </r>
  <r>
    <s v="TXN000435"/>
    <s v="USR00230"/>
    <s v="UPI"/>
    <n v="7086.92507915641"/>
    <d v="2025-04-29T00:00:00"/>
    <s v="15:42:36"/>
    <x v="3"/>
    <s v="Web"/>
    <s v="Premium"/>
    <x v="0"/>
    <s v="MCH3778"/>
    <s v="Food"/>
    <n v="4696.6374451014699"/>
    <n v="0"/>
    <s v="Failed"/>
    <n v="1"/>
    <s v="Safari"/>
    <s v="US"/>
    <n v="28.2909814082483"/>
    <n v="34.534397792633001"/>
    <s v="Low"/>
    <n v="4696.6374451014699"/>
  </r>
  <r>
    <s v="TXN000255"/>
    <s v="USR00225"/>
    <s v="NetBanking"/>
    <n v="35731.797702958298"/>
    <d v="2025-04-30T00:00:00"/>
    <s v="07:57:30"/>
    <x v="9"/>
    <s v="Ios"/>
    <s v="Regular"/>
    <x v="0"/>
    <s v="MCH8478"/>
    <s v="Retail"/>
    <n v="900.78873507282503"/>
    <n v="0"/>
    <s v="Success"/>
    <n v="3"/>
    <s v="Chrome"/>
    <s v="IN"/>
    <n v="6.4617542098564797"/>
    <n v="54.098623552808398"/>
    <s v="Normal"/>
    <n v="900.78873507282503"/>
  </r>
  <r>
    <s v="TXN000133"/>
    <s v="USR00009"/>
    <s v="UPI"/>
    <n v="26813.244644374601"/>
    <d v="2025-04-30T00:00:00"/>
    <s v="05:41:31"/>
    <x v="0"/>
    <s v="Ios"/>
    <s v="Premium"/>
    <x v="1"/>
    <s v="MCH8549"/>
    <s v="Food"/>
    <n v="4889.0703037079602"/>
    <n v="0"/>
    <s v="Failed"/>
    <n v="0"/>
    <s v="Firefox"/>
    <s v="UK"/>
    <n v="14.0585993389865"/>
    <n v="71.126582471045296"/>
    <s v="Normal"/>
    <n v="4889.0703037079602"/>
  </r>
  <r>
    <s v="TXN000388"/>
    <s v="USR00200"/>
    <s v="Wallet"/>
    <n v="31698.714668056899"/>
    <d v="2025-05-02T00:00:00"/>
    <s v="11:56:40"/>
    <x v="0"/>
    <s v="Ios"/>
    <s v="Premium"/>
    <x v="0"/>
    <s v="MCH8697"/>
    <s v="Food"/>
    <n v="1595.3498247426201"/>
    <n v="0"/>
    <s v="Failed"/>
    <n v="4"/>
    <s v="Safari"/>
    <s v="UK"/>
    <n v="-24.3605442350039"/>
    <n v="82.645365245497999"/>
    <s v="High"/>
    <n v="1595.3498247426201"/>
  </r>
  <r>
    <s v="TXN000428"/>
    <s v="USR00115"/>
    <s v="Wallet"/>
    <n v="40771.215977282598"/>
    <d v="2025-05-02T00:00:00"/>
    <s v="19:05:11"/>
    <x v="5"/>
    <s v="Ios"/>
    <s v="New"/>
    <x v="1"/>
    <s v="MCH8891"/>
    <s v="Retail"/>
    <n v="159.32493424084001"/>
    <n v="180.02995096536301"/>
    <s v="Failed"/>
    <n v="0"/>
    <s v="N/A"/>
    <s v="IN"/>
    <n v="-17.236382032183599"/>
    <n v="96.111826802164003"/>
    <s v="High"/>
    <n v="0"/>
  </r>
  <r>
    <s v="TXN000142"/>
    <s v="USR00081"/>
    <s v="UPI"/>
    <n v="27931.339070926799"/>
    <d v="2025-05-03T00:00:00"/>
    <s v="20:07:37"/>
    <x v="8"/>
    <s v="Ios"/>
    <s v="New"/>
    <x v="1"/>
    <s v="MCH4164"/>
    <s v="Retail"/>
    <n v="878.92573536404302"/>
    <n v="0"/>
    <s v="Success"/>
    <n v="1"/>
    <s v="Safari"/>
    <s v="IN"/>
    <n v="-4.7800014340894501"/>
    <n v="1.5853545373567"/>
    <s v="Low"/>
    <n v="878.92573536404302"/>
  </r>
  <r>
    <s v="TXN000394"/>
    <s v="USR00112"/>
    <s v="Card"/>
    <n v="35226.912143411602"/>
    <d v="2025-05-03T00:00:00"/>
    <s v="10:40:38"/>
    <x v="9"/>
    <s v="Web"/>
    <s v="Premium"/>
    <x v="1"/>
    <s v="MCH6060"/>
    <s v="Utilities"/>
    <n v="3026.8511499083902"/>
    <n v="491.24129030062397"/>
    <s v="Success"/>
    <n v="2"/>
    <s v="Edge"/>
    <s v="US"/>
    <n v="20.733071729814"/>
    <n v="58.6459512374798"/>
    <s v="Normal"/>
    <n v="2535.60985960777"/>
  </r>
  <r>
    <s v="TXN000154"/>
    <s v="USR00135"/>
    <s v="NetBanking"/>
    <n v="11344.106605855201"/>
    <d v="2025-05-04T00:00:00"/>
    <s v="22:15:11"/>
    <x v="0"/>
    <s v="Android"/>
    <s v="Premium "/>
    <x v="0"/>
    <s v="MCH4962"/>
    <s v="Health"/>
    <n v="2083.01076468875"/>
    <n v="0"/>
    <s v="Failed"/>
    <n v="2"/>
    <s v="Firefox"/>
    <s v="IN"/>
    <n v="28.403657486162601"/>
    <n v="40.738227911914002"/>
    <s v="Low"/>
    <n v="2083.01076468875"/>
  </r>
  <r>
    <s v="TXN000483"/>
    <s v="USR00215"/>
    <s v="UPI"/>
    <n v="5244.3779260858701"/>
    <d v="2025-05-05T00:00:00"/>
    <s v="18:29:13"/>
    <x v="9"/>
    <s v="Ios"/>
    <s v="Premium "/>
    <x v="1"/>
    <s v="MCH5232"/>
    <s v="Food"/>
    <n v="3551.76006205157"/>
    <n v="0"/>
    <s v="Pending"/>
    <n v="3"/>
    <s v="Edge"/>
    <s v="IN"/>
    <n v="-23.684090251174499"/>
    <n v="43.904148882114796"/>
    <s v="Low"/>
    <n v="3551.76006205157"/>
  </r>
  <r>
    <s v="TXN000417"/>
    <s v="USR00248"/>
    <s v="Card"/>
    <n v="34972.4080727291"/>
    <d v="2025-05-07T00:00:00"/>
    <s v="19:34:05"/>
    <x v="1"/>
    <s v="Ios"/>
    <s v="Regular"/>
    <x v="1"/>
    <s v="MCH5942"/>
    <s v="Utilities"/>
    <n v="3085.1019599599399"/>
    <n v="0"/>
    <s v="Failed"/>
    <n v="3"/>
    <s v="Edge"/>
    <s v="IN"/>
    <n v="12.9871788935274"/>
    <n v="30.972922175133"/>
    <s v="Low"/>
    <n v="3085.1019599599399"/>
  </r>
  <r>
    <s v="TXN000283"/>
    <s v="USR00113"/>
    <s v="Card"/>
    <n v="12875.175039497701"/>
    <d v="2025-05-10T00:00:00"/>
    <s v="11:40:46"/>
    <x v="0"/>
    <s v="Web"/>
    <s v="Regular"/>
    <x v="0"/>
    <s v="MCH4748"/>
    <s v="Travel"/>
    <n v="2037.4131722961399"/>
    <n v="0"/>
    <s v="Success"/>
    <n v="1"/>
    <s v="Firefox"/>
    <s v="IN"/>
    <n v="3.4009231609052102"/>
    <n v="11.836222785129801"/>
    <s v="Low"/>
    <n v="2037.4131722961399"/>
  </r>
  <r>
    <s v="TXN000449"/>
    <s v="USR00225"/>
    <s v="Wallet"/>
    <n v="9300.1089418802603"/>
    <d v="2025-05-11T00:00:00"/>
    <s v="17:05:18"/>
    <x v="4"/>
    <s v="Web"/>
    <s v="New"/>
    <x v="0"/>
    <s v="MCH6968"/>
    <s v="Utilities"/>
    <n v="999.09427608181898"/>
    <n v="0"/>
    <s v="Pending"/>
    <n v="3"/>
    <s v="Unknown"/>
    <s v="IN"/>
    <n v="-9.7368513262669794"/>
    <n v="30.048875863263898"/>
    <s v="Low"/>
    <n v="999.09427608181898"/>
  </r>
  <r>
    <s v="TXN000485"/>
    <s v="USR00067"/>
    <s v="UPI"/>
    <n v="40390.769565656403"/>
    <d v="2025-05-11T00:00:00"/>
    <s v="07:23:13"/>
    <x v="8"/>
    <s v="Web"/>
    <s v="Premium "/>
    <x v="0"/>
    <s v="MCH3799"/>
    <s v="Health"/>
    <n v="4496.85861207994"/>
    <n v="410.62971018642298"/>
    <s v="Failed"/>
    <n v="3"/>
    <s v="Safari"/>
    <s v="UK"/>
    <n v="3.48533668979236E-2"/>
    <n v="70.588244468172107"/>
    <s v="Normal"/>
    <n v="4086.2289018935198"/>
  </r>
  <r>
    <s v="TXN000031"/>
    <s v="USR00021"/>
    <s v="NetBanking"/>
    <n v="10440.659685502"/>
    <d v="2025-05-11T00:00:00"/>
    <s v="09:19:52"/>
    <x v="4"/>
    <s v="Android"/>
    <s v="Regular"/>
    <x v="0"/>
    <s v="MCH8036"/>
    <s v="Food"/>
    <n v="4437.1266714557996"/>
    <n v="0"/>
    <s v="Success"/>
    <n v="3"/>
    <s v="Unknown"/>
    <s v="UK"/>
    <n v="9.2537986799924603"/>
    <n v="23.1314182262293"/>
    <s v="Low"/>
    <n v="4437.1266714557996"/>
  </r>
  <r>
    <s v="TXN000203"/>
    <s v="USR00231"/>
    <s v="UPI"/>
    <n v="39735.043553326497"/>
    <d v="2025-05-13T00:00:00"/>
    <s v="18:04:18"/>
    <x v="1"/>
    <s v="Web"/>
    <s v="Premium"/>
    <x v="0"/>
    <s v="MCH9432"/>
    <s v="Health"/>
    <n v="3877.2583312308502"/>
    <n v="252.06642095921899"/>
    <s v="Failed"/>
    <n v="3"/>
    <s v="Edge"/>
    <s v="US"/>
    <n v="23.738649183830098"/>
    <n v="33.874990421450697"/>
    <s v="Low"/>
    <n v="3625.1919102716301"/>
  </r>
  <r>
    <s v="TXN000269"/>
    <s v="USR00062"/>
    <s v="NetBanking"/>
    <n v="29962.2907901408"/>
    <d v="2025-05-14T00:00:00"/>
    <s v="22:49:09"/>
    <x v="2"/>
    <s v="Android"/>
    <s v="Regular"/>
    <x v="0"/>
    <s v="MCH7364"/>
    <s v="Food"/>
    <n v="2543.3565160661501"/>
    <n v="0"/>
    <s v="Failed"/>
    <n v="4"/>
    <s v="Unknown"/>
    <s v="UK"/>
    <n v="17.015033684573002"/>
    <n v="20.7469438058877"/>
    <s v="Low"/>
    <n v="2543.3565160661501"/>
  </r>
  <r>
    <s v="TXN000144"/>
    <s v="USR00163"/>
    <s v="Card"/>
    <n v="28266.481271879798"/>
    <d v="2025-05-17T00:00:00"/>
    <s v="21:43:57"/>
    <x v="2"/>
    <s v="N/A"/>
    <s v="Regular"/>
    <x v="0"/>
    <s v="MCH9479"/>
    <s v="Food"/>
    <n v="214.676457288324"/>
    <n v="331.15895676979102"/>
    <s v="Success"/>
    <n v="1"/>
    <s v="Unknown"/>
    <s v="UK"/>
    <n v="24.1520329583145"/>
    <n v="32.668902253174799"/>
    <s v="Low"/>
    <n v="0"/>
  </r>
  <r>
    <s v="TXN000015"/>
    <s v="USR00088"/>
    <s v="Wallet"/>
    <n v="1937.41119503597"/>
    <d v="2025-05-17T00:00:00"/>
    <s v="00:04:19"/>
    <x v="5"/>
    <s v="Ios"/>
    <s v="Regular"/>
    <x v="0"/>
    <s v="MCH1310"/>
    <s v="Entertainment"/>
    <n v="54.600613506307297"/>
    <n v="0"/>
    <s v="Success"/>
    <n v="3"/>
    <s v="Safari"/>
    <s v="US"/>
    <n v="-5.5906411560920999"/>
    <n v="72.010165453914098"/>
    <s v="Normal"/>
    <n v="54.600613506307297"/>
  </r>
  <r>
    <s v="TXN000081"/>
    <s v="USR00175"/>
    <s v="Card"/>
    <n v="9085.3568902299994"/>
    <d v="2025-05-20T00:00:00"/>
    <s v="11:35:14"/>
    <x v="3"/>
    <s v="Web"/>
    <s v="Premium"/>
    <x v="0"/>
    <s v="MCH9901"/>
    <s v="Entertainment"/>
    <n v="926.77936378135701"/>
    <n v="156.41709876210999"/>
    <s v="Failed"/>
    <n v="0"/>
    <s v="Safari"/>
    <s v="IN"/>
    <n v="0.33938144581316398"/>
    <n v="48.352206736497202"/>
    <s v="Normal"/>
    <n v="770.36226501924705"/>
  </r>
  <r>
    <s v="TXN000051"/>
    <s v="USR00108"/>
    <s v="Card"/>
    <n v="45167.237827963603"/>
    <d v="2025-05-21T00:00:00"/>
    <s v="03:32:00"/>
    <x v="7"/>
    <s v="Ios"/>
    <s v="Premium"/>
    <x v="1"/>
    <s v="MCH6454"/>
    <s v="Health"/>
    <n v="4134.7962877351702"/>
    <n v="0"/>
    <s v="Success"/>
    <n v="1"/>
    <s v="Firefox"/>
    <s v="IN"/>
    <n v="-29.352096456629301"/>
    <n v="92.627996184840697"/>
    <s v="High"/>
    <n v="4134.7962877351702"/>
  </r>
  <r>
    <s v="TXN000071"/>
    <s v="USR00090"/>
    <s v="NetBanking"/>
    <n v="31078.2036526624"/>
    <d v="2025-05-22T00:00:00"/>
    <s v="16:34:43"/>
    <x v="3"/>
    <s v="Ios"/>
    <s v="Regular"/>
    <x v="1"/>
    <s v="MCH3462"/>
    <s v="Retail"/>
    <n v="4563.5022119961504"/>
    <n v="0"/>
    <s v="Success"/>
    <n v="3"/>
    <s v="Safari"/>
    <s v="IN"/>
    <n v="29.047133029574201"/>
    <n v="12.8747202875713"/>
    <s v="Low"/>
    <n v="4563.5022119961504"/>
  </r>
  <r>
    <s v="TXN000389"/>
    <s v="USR00164"/>
    <s v="UPI"/>
    <n v="36821.640198480498"/>
    <d v="2025-05-23T00:00:00"/>
    <s v="00:49:52"/>
    <x v="8"/>
    <s v="Ios"/>
    <s v="New"/>
    <x v="1"/>
    <s v="MCH9386"/>
    <s v="Retail"/>
    <n v="3639.3002416699201"/>
    <n v="0"/>
    <s v="Failed"/>
    <n v="4"/>
    <s v="Chrome"/>
    <s v="UK"/>
    <n v="-12.5566615427601"/>
    <n v="91.376500330379898"/>
    <s v="High"/>
    <n v="3639.3002416699201"/>
  </r>
  <r>
    <s v="TXN000313"/>
    <s v="USR00098"/>
    <s v="NetBanking"/>
    <n v="20783.778751761001"/>
    <d v="2025-05-25T00:00:00"/>
    <s v="19:10:15"/>
    <x v="2"/>
    <s v="Ios"/>
    <s v="Premium"/>
    <x v="1"/>
    <s v="MCH9532"/>
    <s v="Retail"/>
    <n v="3373.4600595864999"/>
    <n v="0"/>
    <s v="Success"/>
    <n v="2"/>
    <s v="Unknown"/>
    <s v="IN"/>
    <n v="11.0326044697984"/>
    <n v="41.5989607975242"/>
    <s v="Low"/>
    <n v="3373.4600595864999"/>
  </r>
  <r>
    <s v="TXN000127"/>
    <s v="USR00157"/>
    <s v="UPI"/>
    <n v="5332.9714099707999"/>
    <d v="2025-05-25T00:00:00"/>
    <s v="01:34:06"/>
    <x v="8"/>
    <s v="Ios"/>
    <s v="Regular"/>
    <x v="0"/>
    <s v="MCH3845"/>
    <s v="Retail"/>
    <n v="4319.3577116378501"/>
    <n v="0"/>
    <s v="Success"/>
    <n v="0"/>
    <s v="Safari"/>
    <s v="US"/>
    <n v="18.586224233835701"/>
    <n v="58.239550840850299"/>
    <s v="Normal"/>
    <n v="4319.3577116378501"/>
  </r>
  <r>
    <s v="TXN000074"/>
    <s v="USR00084"/>
    <s v="UPI"/>
    <n v="29024.531730139799"/>
    <d v="2025-05-26T00:00:00"/>
    <s v="13:09:01"/>
    <x v="0"/>
    <s v="Web"/>
    <s v="Premium"/>
    <x v="1"/>
    <s v="MCH1406"/>
    <s v="Retail"/>
    <n v="1674.39235815036"/>
    <n v="0"/>
    <s v="Failed"/>
    <n v="4"/>
    <s v="Edge"/>
    <s v="US"/>
    <n v="9.3721788224163909"/>
    <n v="97.434945652403101"/>
    <s v="High"/>
    <n v="1674.39235815036"/>
  </r>
  <r>
    <s v="TXN000429"/>
    <s v="USR00214"/>
    <s v="NetBanking"/>
    <n v="24954.7286001992"/>
    <d v="2025-05-27T00:00:00"/>
    <s v="01:06:15"/>
    <x v="0"/>
    <s v="Android"/>
    <s v="Regular"/>
    <x v="0"/>
    <s v="MCH1325"/>
    <s v="Entertainment"/>
    <n v="1821.9079129371901"/>
    <n v="0"/>
    <s v="Success"/>
    <n v="1"/>
    <s v="Safari"/>
    <s v="UK"/>
    <n v="6.2151472594923298"/>
    <n v="62.739655531584603"/>
    <s v="Normal"/>
    <n v="1821.9079129371901"/>
  </r>
  <r>
    <s v="TXN000297"/>
    <s v="USR00172"/>
    <s v="UPI"/>
    <n v="45543.241292960098"/>
    <d v="2025-05-27T00:00:00"/>
    <s v="18:22:28"/>
    <x v="5"/>
    <s v="Ios"/>
    <s v="Premium"/>
    <x v="0"/>
    <s v="MCH2907"/>
    <s v="Travel"/>
    <n v="4154.2956694064897"/>
    <n v="72.757741393679595"/>
    <s v="Failed"/>
    <n v="4"/>
    <s v="Edge"/>
    <s v="US"/>
    <n v="-18.327121818005299"/>
    <n v="40.227476743143399"/>
    <s v="Low"/>
    <n v="4081.53792801281"/>
  </r>
  <r>
    <s v="TXN000183"/>
    <s v="USR00103"/>
    <s v="UPI"/>
    <n v="26539.0171567377"/>
    <d v="2025-05-27T00:00:00"/>
    <s v="13:08:14"/>
    <x v="10"/>
    <s v="Android"/>
    <s v="Regular"/>
    <x v="0"/>
    <s v="MCH4096"/>
    <s v="Food"/>
    <n v="3542.5354226659701"/>
    <n v="0"/>
    <s v="Pending"/>
    <n v="1"/>
    <s v="Firefox"/>
    <s v="IN"/>
    <n v="-10.653011417361"/>
    <n v="12.862406043919201"/>
    <s v="Low"/>
    <n v="3542.5354226659701"/>
  </r>
  <r>
    <s v="TXN000370"/>
    <s v="USR00160"/>
    <s v="UPI"/>
    <n v="9886.0436747032909"/>
    <d v="2025-05-28T00:00:00"/>
    <s v="15:15:53"/>
    <x v="2"/>
    <s v="Web"/>
    <s v="Regular"/>
    <x v="1"/>
    <s v="MCH6197"/>
    <s v="Utilities"/>
    <n v="2936.4827260917"/>
    <n v="362.66319536793901"/>
    <s v="Success"/>
    <n v="2"/>
    <s v="Chrome"/>
    <s v="UK"/>
    <n v="21.648651761204199"/>
    <n v="35.1378966758109"/>
    <s v="Low"/>
    <n v="2573.8195307237602"/>
  </r>
  <r>
    <s v="TXN000100"/>
    <s v="USR00162"/>
    <s v="Wallet"/>
    <n v="4705.3002528144298"/>
    <d v="2025-05-28T00:00:00"/>
    <s v="11:09:38"/>
    <x v="4"/>
    <s v="Web"/>
    <s v="Regular"/>
    <x v="1"/>
    <s v="MCH6184"/>
    <s v="Health"/>
    <n v="4799.3873056292896"/>
    <n v="0"/>
    <s v="Failed"/>
    <n v="1"/>
    <s v="Chrome"/>
    <s v="US"/>
    <n v="-22.077889386600301"/>
    <n v="72.649674633742293"/>
    <s v="Normal"/>
    <n v="4799.3873056292896"/>
  </r>
  <r>
    <s v="TXN000443"/>
    <s v="USR00021"/>
    <s v="UPI"/>
    <n v="41921.537462597"/>
    <d v="2025-05-30T00:00:00"/>
    <s v="05:57:30"/>
    <x v="9"/>
    <s v="Android"/>
    <s v="Regular"/>
    <x v="0"/>
    <s v="MCH2581"/>
    <s v="Utilities"/>
    <n v="2511.4067386248498"/>
    <n v="134.07161480596"/>
    <s v="Failed"/>
    <n v="3"/>
    <s v="Safari"/>
    <s v="UK"/>
    <n v="-18.843981547536899"/>
    <n v="5.6483424003482101"/>
    <s v="Low"/>
    <n v="2377.3351238188902"/>
  </r>
  <r>
    <s v="TXN000467"/>
    <s v="USR00124"/>
    <s v="NetBanking"/>
    <n v="42335.751680796398"/>
    <d v="2025-06-01T00:00:00"/>
    <s v="14:38:05"/>
    <x v="7"/>
    <s v="Ios"/>
    <s v="Premium"/>
    <x v="0"/>
    <s v="MCH9362"/>
    <s v="Food"/>
    <n v="3536.45981398804"/>
    <n v="0"/>
    <s v="Pending"/>
    <n v="4"/>
    <s v="Chrome"/>
    <s v="US"/>
    <n v="-2.6304755328106499"/>
    <n v="87.441455419647895"/>
    <s v="High"/>
    <n v="3536.45981398804"/>
  </r>
  <r>
    <s v="TXN000026"/>
    <s v="USR00158"/>
    <s v="Card"/>
    <n v="18954.742408861701"/>
    <d v="2025-06-01T00:00:00"/>
    <s v="08:36:19"/>
    <x v="8"/>
    <s v="Android"/>
    <s v="Premium "/>
    <x v="0"/>
    <s v="MCH5939"/>
    <s v="Health"/>
    <n v="3120.8376980124199"/>
    <n v="0"/>
    <s v="Pending"/>
    <n v="1"/>
    <s v="N/A"/>
    <s v="IN"/>
    <n v="-2.8611578969198699"/>
    <n v="85.017194520504802"/>
    <s v="High"/>
    <n v="3120.8376980124199"/>
  </r>
  <r>
    <s v="TXN000094"/>
    <s v="USR00054"/>
    <s v="UPI"/>
    <n v="26767.732836252901"/>
    <d v="2025-06-02T00:00:00"/>
    <s v="14:27:34"/>
    <x v="10"/>
    <s v="Web"/>
    <s v="Premium "/>
    <x v="0"/>
    <s v="MCH2635"/>
    <s v="Utilities"/>
    <n v="455.730386486128"/>
    <n v="164.68963465103801"/>
    <s v="Failed"/>
    <n v="2"/>
    <s v="Firefox"/>
    <s v="US"/>
    <n v="-25.793911183953501"/>
    <n v="72.618948386210505"/>
    <s v="Normal"/>
    <n v="291.04075183509002"/>
  </r>
  <r>
    <s v="TXN000076"/>
    <s v="USR00111"/>
    <s v="NetBanking"/>
    <n v="26909.444494032101"/>
    <d v="2025-06-02T00:00:00"/>
    <s v="20:25:07"/>
    <x v="0"/>
    <s v="Ios"/>
    <s v="Regular"/>
    <x v="1"/>
    <s v="MCH7049"/>
    <s v="Retail"/>
    <n v="3363.3170719916998"/>
    <n v="0"/>
    <s v="Pending"/>
    <n v="0"/>
    <s v="Chrome"/>
    <s v="US"/>
    <n v="4.2976616016699296"/>
    <n v="35.577408420066"/>
    <s v="Low"/>
    <n v="3363.3170719916998"/>
  </r>
  <r>
    <s v="TXN000328"/>
    <s v="USR00187"/>
    <s v="Wallet"/>
    <n v="13951.599914208"/>
    <d v="2025-06-02T00:00:00"/>
    <s v="22:51:03"/>
    <x v="10"/>
    <s v="Web"/>
    <s v="Premium "/>
    <x v="1"/>
    <s v="MCH8498"/>
    <s v="Travel"/>
    <n v="3577.6948139833898"/>
    <n v="0"/>
    <s v="Pending"/>
    <n v="2"/>
    <s v="Firefox"/>
    <s v="UK"/>
    <n v="14.335697767857299"/>
    <n v="48.3011855548379"/>
    <s v="Normal"/>
    <n v="3577.6948139833898"/>
  </r>
  <r>
    <s v="TXN000381"/>
    <s v="USR00054"/>
    <s v="Wallet"/>
    <n v="40361.822433232999"/>
    <d v="2025-06-03T00:00:00"/>
    <s v="20:41:25"/>
    <x v="5"/>
    <s v="Ios"/>
    <s v="Regular"/>
    <x v="1"/>
    <s v="MCH5427"/>
    <s v="Health"/>
    <n v="3139.9916481377099"/>
    <n v="0"/>
    <s v="Success"/>
    <n v="3"/>
    <s v="Edge"/>
    <s v="UK"/>
    <n v="-19.907334453987499"/>
    <n v="78.9761773734635"/>
    <s v="Normal"/>
    <n v="3139.9916481377099"/>
  </r>
  <r>
    <s v="TXN000200"/>
    <s v="USR00222"/>
    <s v="NetBanking"/>
    <n v="5923.1336006699003"/>
    <d v="2025-06-04T00:00:00"/>
    <s v="05:31:28"/>
    <x v="8"/>
    <s v="Android"/>
    <s v="Regular"/>
    <x v="0"/>
    <s v="MCH7197"/>
    <s v="Health"/>
    <n v="3448.2440180641001"/>
    <n v="0"/>
    <s v="Success"/>
    <n v="2"/>
    <s v="Chrome"/>
    <s v="UK"/>
    <n v="-27.0862366022603"/>
    <n v="78.793093843776703"/>
    <s v="Normal"/>
    <n v="3448.2440180641001"/>
  </r>
  <r>
    <s v="TXN000224"/>
    <s v="USR00028"/>
    <s v="Wallet"/>
    <n v="15878.209456595099"/>
    <d v="2025-06-04T00:00:00"/>
    <s v="06:04:00"/>
    <x v="9"/>
    <s v="Ios"/>
    <s v="Premium"/>
    <x v="0"/>
    <s v="MCH8143"/>
    <s v="Travel"/>
    <n v="389.81089743196799"/>
    <n v="0"/>
    <s v="Success"/>
    <n v="2"/>
    <s v="Chrome"/>
    <s v="UK"/>
    <n v="27.711892460879898"/>
    <n v="26.360543980688099"/>
    <s v="Low"/>
    <n v="389.81089743196799"/>
  </r>
  <r>
    <s v="TXN000280"/>
    <s v="USR00184"/>
    <s v="UPI"/>
    <n v="45601.435201263899"/>
    <d v="2025-06-06T00:00:00"/>
    <s v="18:45:48"/>
    <x v="9"/>
    <s v="Android"/>
    <s v="Premium"/>
    <x v="0"/>
    <s v="MCH4121"/>
    <s v="Travel"/>
    <n v="2085.4601326986799"/>
    <n v="0"/>
    <s v="Failed"/>
    <n v="1"/>
    <s v="Edge"/>
    <s v="IN"/>
    <n v="7.1740934867195802"/>
    <n v="86.642740289875604"/>
    <s v="High"/>
    <n v="2085.4601326986799"/>
  </r>
  <r>
    <s v="TXN000072"/>
    <s v="USR00053"/>
    <s v="NetBanking"/>
    <n v="17435.929070448201"/>
    <d v="2025-06-07T00:00:00"/>
    <s v="05:25:10"/>
    <x v="10"/>
    <s v="Android"/>
    <s v="New"/>
    <x v="1"/>
    <s v="MCH2015"/>
    <s v="Food"/>
    <n v="532.66307769618197"/>
    <n v="0"/>
    <s v="Failed"/>
    <n v="2"/>
    <s v="Chrome"/>
    <s v="UK"/>
    <n v="14.1752368776277"/>
    <n v="55.700680631312899"/>
    <s v="Normal"/>
    <n v="532.66307769618197"/>
  </r>
  <r>
    <s v="TXN000212"/>
    <s v="USR00187"/>
    <s v="Card"/>
    <n v="46329.826237126603"/>
    <d v="2025-06-07T00:00:00"/>
    <s v="06:39:16"/>
    <x v="8"/>
    <s v="Ios"/>
    <s v="Regular"/>
    <x v="1"/>
    <s v="MCH9430"/>
    <s v="Travel"/>
    <n v="3923.3757146824501"/>
    <n v="0"/>
    <s v="Success"/>
    <n v="2"/>
    <s v="Firefox"/>
    <s v="IN"/>
    <n v="29.555863114899601"/>
    <n v="43.734757243259502"/>
    <s v="Low"/>
    <n v="3923.3757146824501"/>
  </r>
  <r>
    <s v="TXN000460"/>
    <s v="USR00220"/>
    <s v="NetBanking"/>
    <n v="-5000"/>
    <d v="2025-06-08T00:00:00"/>
    <s v="10:56:22"/>
    <x v="10"/>
    <s v="Android"/>
    <s v="Regular"/>
    <x v="1"/>
    <s v="MCH4144"/>
    <s v="Travel"/>
    <n v="3955.66308051326"/>
    <n v="434.847942425817"/>
    <s v="Pending"/>
    <n v="4"/>
    <s v="Safari"/>
    <s v="IN"/>
    <n v="-13.557504617743501"/>
    <n v="1.0672287848834101"/>
    <s v="Low"/>
    <n v="3520.8151380874401"/>
  </r>
  <r>
    <s v="TXN000025"/>
    <s v="USR00236"/>
    <s v="NetBanking"/>
    <n v="37878.351981918597"/>
    <d v="2025-06-08T00:00:00"/>
    <s v="17:13:01"/>
    <x v="3"/>
    <s v="Android"/>
    <s v="New"/>
    <x v="1"/>
    <s v="MCH7251"/>
    <s v="Utilities"/>
    <n v="4661.9049697217897"/>
    <n v="0"/>
    <s v="Success"/>
    <n v="0"/>
    <s v="Edge"/>
    <s v="US"/>
    <n v="15.360254506444599"/>
    <n v="4.7838812507038799"/>
    <s v="Low"/>
    <n v="4661.9049697217897"/>
  </r>
  <r>
    <s v="TXN000210"/>
    <s v="USR00160"/>
    <s v="UPI"/>
    <n v="10329.5903216565"/>
    <d v="2025-06-09T00:00:00"/>
    <s v="15:15:59"/>
    <x v="0"/>
    <s v="Ios"/>
    <s v="Regular"/>
    <x v="0"/>
    <s v="MCH5586"/>
    <s v="Utilities"/>
    <n v="2834.0254018837099"/>
    <n v="0"/>
    <s v="Failed"/>
    <n v="0"/>
    <s v="Chrome"/>
    <s v="UK"/>
    <n v="-4.1049402529494499"/>
    <n v="63.055923434573799"/>
    <s v="Normal"/>
    <n v="2834.0254018837099"/>
  </r>
  <r>
    <s v="TXN000365"/>
    <s v="USR00129"/>
    <s v="Card"/>
    <n v="42005.464086882901"/>
    <d v="2025-06-09T00:00:00"/>
    <s v="03:20:29"/>
    <x v="10"/>
    <s v="Android"/>
    <s v="New"/>
    <x v="1"/>
    <s v="MCH5883"/>
    <s v="Utilities"/>
    <n v="1046.2557512656399"/>
    <n v="0"/>
    <s v="Failed"/>
    <n v="1"/>
    <s v="Safari"/>
    <s v="IN"/>
    <n v="-18.995679083415599"/>
    <n v="32.413517383279597"/>
    <s v="Low"/>
    <n v="1046.2557512656399"/>
  </r>
  <r>
    <s v="TXN000130"/>
    <s v="USR00065"/>
    <s v="Wallet"/>
    <n v="28241.858091739901"/>
    <d v="2025-06-09T00:00:00"/>
    <s v="08:48:10"/>
    <x v="9"/>
    <s v="Web"/>
    <s v="Regular"/>
    <x v="1"/>
    <s v="MCH1422"/>
    <s v="Health"/>
    <n v="3166.6603074460299"/>
    <n v="0"/>
    <s v="Failed"/>
    <n v="2"/>
    <s v="N/A"/>
    <s v="UK"/>
    <n v="-16.526431843866199"/>
    <n v="84.479173786591105"/>
    <s v="High"/>
    <n v="3166.6603074460299"/>
  </r>
  <r>
    <s v="TXN000371"/>
    <s v="USR00247"/>
    <s v="UPI"/>
    <n v="25324.8431673911"/>
    <d v="2025-06-10T00:00:00"/>
    <s v="09:24:12"/>
    <x v="3"/>
    <s v="Ios"/>
    <s v="Regular"/>
    <x v="1"/>
    <s v="MCH8452"/>
    <s v="Entertainment"/>
    <n v="2915.8783354642301"/>
    <n v="0"/>
    <s v="Pending"/>
    <n v="2"/>
    <s v="N/A"/>
    <s v="IN"/>
    <n v="-29.673377448498599"/>
    <n v="99.822245060905104"/>
    <s v="High"/>
    <n v="2915.8783354642301"/>
  </r>
  <r>
    <s v="TXN000041"/>
    <s v="USR00170"/>
    <s v="Wallet"/>
    <n v="40837.648187131803"/>
    <d v="2025-06-10T00:00:00"/>
    <s v="07:49:20"/>
    <x v="7"/>
    <s v="Android"/>
    <s v="Premium"/>
    <x v="0"/>
    <s v="MCH8000"/>
    <s v="Food"/>
    <n v="1866.45896468564"/>
    <n v="0"/>
    <s v="Pending"/>
    <n v="3"/>
    <s v="Edge"/>
    <s v="IN"/>
    <n v="1.68284694022796"/>
    <n v="88.088142377473702"/>
    <s v="High"/>
    <n v="1866.45896468564"/>
  </r>
  <r>
    <s v="TXN000301"/>
    <s v="USR00160"/>
    <s v="Wallet"/>
    <n v="9397.4118867566194"/>
    <d v="2025-06-11T00:00:00"/>
    <s v="07:00:43"/>
    <x v="5"/>
    <s v="Android"/>
    <s v="New"/>
    <x v="1"/>
    <s v="MCH3363"/>
    <s v="Retail"/>
    <n v="2416.88667160143"/>
    <n v="0"/>
    <s v="Success"/>
    <n v="1"/>
    <s v="N/A"/>
    <s v="US"/>
    <n v="0.88017144310965301"/>
    <n v="98.444195358336799"/>
    <s v="High"/>
    <n v="2416.88667160143"/>
  </r>
  <r>
    <s v="TXN000302"/>
    <s v="USR00247"/>
    <s v="NetBanking"/>
    <n v="41890.790371224401"/>
    <d v="2025-06-12T00:00:00"/>
    <s v="04:02:00"/>
    <x v="8"/>
    <s v="Ios"/>
    <s v="Regular"/>
    <x v="1"/>
    <s v="MCH9151"/>
    <s v="Utilities"/>
    <n v="3851.4513914060699"/>
    <n v="264.09463087817801"/>
    <s v="Failed"/>
    <n v="0"/>
    <s v="Safari"/>
    <s v="US"/>
    <n v="-23.657963767241998"/>
    <n v="29.775415367224401"/>
    <s v="Low"/>
    <n v="3587.3567605278899"/>
  </r>
  <r>
    <s v="TXN000234"/>
    <s v="USR00092"/>
    <s v="Card"/>
    <n v="17832.586345737898"/>
    <d v="2025-06-12T00:00:00"/>
    <s v="07:34:40"/>
    <x v="2"/>
    <s v="Android"/>
    <s v="Regular"/>
    <x v="1"/>
    <s v="MCH1089"/>
    <s v="Health"/>
    <n v="2221.3051262179702"/>
    <n v="321.95397853388198"/>
    <s v="Success"/>
    <n v="3"/>
    <s v="Edge"/>
    <s v="US"/>
    <n v="7.8250571028812601"/>
    <n v="80.066394152531103"/>
    <s v="High"/>
    <n v="1899.3511476840899"/>
  </r>
  <r>
    <s v="TXN000263"/>
    <s v="USR00160"/>
    <s v="UPI"/>
    <n v="25164.188538380298"/>
    <d v="2025-06-13T00:00:00"/>
    <s v="15:27:16"/>
    <x v="1"/>
    <s v="Android"/>
    <s v="New"/>
    <x v="0"/>
    <s v="MCH8108"/>
    <s v="Retail"/>
    <n v="4190.2835687789202"/>
    <n v="217.507297170112"/>
    <s v="Failed"/>
    <n v="1"/>
    <s v="Chrome"/>
    <s v="IN"/>
    <n v="4.56955978955797"/>
    <n v="40.521512329927901"/>
    <s v="Low"/>
    <n v="3972.77627160881"/>
  </r>
  <r>
    <s v="TXN000336"/>
    <s v="USR00199"/>
    <s v="Card"/>
    <n v="26799.978974789599"/>
    <d v="2025-06-15T00:00:00"/>
    <s v="12:35:29"/>
    <x v="9"/>
    <s v="Ios"/>
    <s v="Regular"/>
    <x v="0"/>
    <s v="MCH4009"/>
    <s v="Retail"/>
    <n v="2091.2141120096699"/>
    <n v="0"/>
    <s v="Success"/>
    <n v="1"/>
    <s v="Chrome"/>
    <s v="UK"/>
    <n v="-1.8575972000422301"/>
    <n v="75.899576249072794"/>
    <s v="Normal"/>
    <n v="2091.2141120096699"/>
  </r>
  <r>
    <s v="TXN000351"/>
    <s v="USR00151"/>
    <s v="UPI"/>
    <n v="26429.621734224798"/>
    <d v="2025-06-15T00:00:00"/>
    <s v="12:05:16"/>
    <x v="1"/>
    <s v="Android"/>
    <s v="New"/>
    <x v="1"/>
    <s v="MCH8701"/>
    <s v="Utilities"/>
    <n v="4071.0145922229499"/>
    <n v="0"/>
    <s v="Failed"/>
    <n v="0"/>
    <s v="Firefox"/>
    <s v="US"/>
    <n v="-18.420959523658301"/>
    <n v="47.282562489630202"/>
    <s v="Normal"/>
    <n v="4071.0145922229499"/>
  </r>
  <r>
    <s v="TXN000384"/>
    <s v="USR00152"/>
    <s v="Card"/>
    <n v="7139.9842540079098"/>
    <d v="2025-06-15T00:00:00"/>
    <s v="17:04:02"/>
    <x v="5"/>
    <s v="Ios"/>
    <s v="Premium"/>
    <x v="0"/>
    <s v="MCH5131"/>
    <s v="Travel"/>
    <n v="4590.2419295330701"/>
    <n v="0"/>
    <s v="Success"/>
    <n v="0"/>
    <s v="Edge"/>
    <s v="US"/>
    <n v="23.556679682648799"/>
    <n v="17.139831232475199"/>
    <s v="Low"/>
    <n v="4590.2419295330701"/>
  </r>
  <r>
    <s v="TXN000185"/>
    <s v="USR00137"/>
    <s v="NetBanking"/>
    <n v="38412.197121997597"/>
    <d v="2025-06-17T00:00:00"/>
    <s v="01:34:17"/>
    <x v="7"/>
    <s v="Web"/>
    <s v="Regular"/>
    <x v="0"/>
    <s v="MCH1717"/>
    <s v="Health"/>
    <n v="1248.76451921998"/>
    <n v="259.373923557355"/>
    <s v="Success"/>
    <n v="1"/>
    <s v="Firefox"/>
    <s v="US"/>
    <n v="19.992581277468101"/>
    <n v="81.535462385556102"/>
    <s v="High"/>
    <n v="989.39059566262495"/>
  </r>
  <r>
    <s v="TXN000191"/>
    <s v="USR00205"/>
    <s v="NetBanking"/>
    <n v="18524.601027343801"/>
    <d v="2025-06-18T00:00:00"/>
    <s v="19:02:34"/>
    <x v="1"/>
    <s v="Android"/>
    <s v="New"/>
    <x v="1"/>
    <s v="MCH6578"/>
    <s v="Food"/>
    <n v="4593.3123713130899"/>
    <n v="25.5827532227379"/>
    <s v="Failed"/>
    <n v="3"/>
    <s v="Unknown"/>
    <s v="IN"/>
    <n v="28.9811998845815"/>
    <n v="60.266996094450498"/>
    <s v="Normal"/>
    <n v="4567.7296180903504"/>
  </r>
  <r>
    <s v="TXN000046"/>
    <s v="USR00190"/>
    <s v="Wallet"/>
    <n v="24054.293754221901"/>
    <d v="2025-06-19T00:00:00"/>
    <s v="10:09:29"/>
    <x v="1"/>
    <s v="Web"/>
    <s v="New"/>
    <x v="1"/>
    <s v="MCH3432"/>
    <s v="Retail"/>
    <n v="0"/>
    <n v="120.829460409593"/>
    <s v="Failed"/>
    <n v="4"/>
    <s v="Firefox"/>
    <s v="US"/>
    <n v="11.3040774425614"/>
    <n v="84.0603622773192"/>
    <s v="High"/>
    <n v="0"/>
  </r>
  <r>
    <s v="TXN000148"/>
    <s v="USR00005"/>
    <s v="UPI"/>
    <n v="30417.005592449299"/>
    <d v="2025-06-19T00:00:00"/>
    <s v="02:33:22"/>
    <x v="8"/>
    <s v="Android"/>
    <s v="New"/>
    <x v="0"/>
    <s v="MCH7009"/>
    <s v="Health"/>
    <n v="2013.9375294548699"/>
    <n v="0"/>
    <s v="Success"/>
    <n v="3"/>
    <s v="Firefox"/>
    <s v="UK"/>
    <n v="16.898126726592601"/>
    <n v="5.53497892180952"/>
    <s v="Low"/>
    <n v="2013.9375294548699"/>
  </r>
  <r>
    <s v="TXN000197"/>
    <s v="USR00052"/>
    <s v="NetBanking"/>
    <n v="4484.6187510085701"/>
    <d v="2025-06-19T00:00:00"/>
    <s v="11:31:31"/>
    <x v="3"/>
    <s v="Android"/>
    <s v="New"/>
    <x v="1"/>
    <s v="MCH3941"/>
    <s v="Retail"/>
    <n v="451.76291109538698"/>
    <n v="246.00086471604101"/>
    <s v="Success"/>
    <n v="4"/>
    <s v="Chrome"/>
    <s v="IN"/>
    <n v="-10.3936141106973"/>
    <n v="86.669134839939503"/>
    <s v="High"/>
    <n v="205.762046379346"/>
  </r>
  <r>
    <s v="TXN000033"/>
    <s v="USR00204"/>
    <s v="NetBanking"/>
    <n v="37874.256695394201"/>
    <d v="2025-06-20T00:00:00"/>
    <s v="10:33:24"/>
    <x v="10"/>
    <s v="Android"/>
    <s v="New"/>
    <x v="1"/>
    <s v="MCH4961"/>
    <s v="Utilities"/>
    <n v="801.83655306631999"/>
    <n v="0"/>
    <s v="Success"/>
    <n v="4"/>
    <s v="Safari"/>
    <s v="UK"/>
    <n v="28.064397279545201"/>
    <n v="30.457536628856801"/>
    <s v="Low"/>
    <n v="801.83655306631999"/>
  </r>
  <r>
    <s v="TXN000433"/>
    <s v="USR00158"/>
    <s v="Wallet"/>
    <n v="36038.108823451599"/>
    <d v="2025-06-22T00:00:00"/>
    <s v="00:54:07"/>
    <x v="10"/>
    <s v="Ios"/>
    <s v="Premium "/>
    <x v="1"/>
    <s v="MCH5932"/>
    <s v="Travel"/>
    <n v="3703.9329391573801"/>
    <n v="0"/>
    <s v="Pending"/>
    <n v="2"/>
    <s v="Unknown"/>
    <s v="UK"/>
    <n v="-5.7084066229113404"/>
    <n v="73.543659389218604"/>
    <s v="Normal"/>
    <n v="3703.9329391573801"/>
  </r>
  <r>
    <s v="TXN000387"/>
    <s v="USR00113"/>
    <s v="Card"/>
    <n v="4437.5582460224296"/>
    <d v="2025-06-23T00:00:00"/>
    <s v="18:24:20"/>
    <x v="9"/>
    <s v="Android"/>
    <s v="Regular"/>
    <x v="1"/>
    <s v="MCH3776"/>
    <s v="Travel"/>
    <n v="2182.7484631422399"/>
    <n v="64.174963307347397"/>
    <s v="Pending"/>
    <n v="4"/>
    <s v="Edge"/>
    <s v="UK"/>
    <n v="-0.165549127161391"/>
    <n v="78.472341517935803"/>
    <s v="Normal"/>
    <n v="2118.5734998348898"/>
  </r>
  <r>
    <s v="TXN000319"/>
    <s v="USR00097"/>
    <s v="NetBanking"/>
    <n v="29394.704384414701"/>
    <d v="2025-06-23T00:00:00"/>
    <s v="02:25:36"/>
    <x v="9"/>
    <s v="Web"/>
    <s v="Regular"/>
    <x v="1"/>
    <s v="MCH8135"/>
    <s v="Food"/>
    <n v="1247.0990673060001"/>
    <n v="24.6544935549123"/>
    <s v="Failed"/>
    <n v="4"/>
    <s v="N/A"/>
    <s v="UK"/>
    <n v="-13.026845412818099"/>
    <n v="73.187325306272001"/>
    <s v="Normal"/>
    <n v="1222.44457375109"/>
  </r>
  <r>
    <s v="TXN000260"/>
    <s v="USR00207"/>
    <s v="Card"/>
    <n v="19003.196121290101"/>
    <d v="2025-06-24T00:00:00"/>
    <s v="04:04:29"/>
    <x v="8"/>
    <s v="Ios"/>
    <s v="Premium "/>
    <x v="1"/>
    <s v="MCH3965"/>
    <s v="Retail"/>
    <n v="2440.1138083300202"/>
    <n v="0"/>
    <s v="Pending"/>
    <n v="1"/>
    <s v="Safari"/>
    <s v="UK"/>
    <n v="9.6954639575559192"/>
    <n v="18.421989929635899"/>
    <s v="Low"/>
    <n v="2440.1138083300202"/>
  </r>
  <r>
    <s v="TXN000284"/>
    <s v="USR00002"/>
    <s v="NetBanking"/>
    <n v="36332.169744513798"/>
    <d v="2025-06-24T00:00:00"/>
    <s v="17:20:12"/>
    <x v="8"/>
    <s v="Android"/>
    <s v="Regular"/>
    <x v="1"/>
    <s v="MCH1277"/>
    <s v="Retail"/>
    <n v="3975.9862629171298"/>
    <n v="0"/>
    <s v="Failed"/>
    <n v="3"/>
    <s v="Chrome"/>
    <s v="UK"/>
    <n v="8.7455575356783495"/>
    <n v="64.575917793803299"/>
    <s v="Normal"/>
    <n v="3975.9862629171298"/>
  </r>
  <r>
    <s v="TXN000016"/>
    <s v="USR00117"/>
    <s v="UPI"/>
    <n v="6779.2207281516003"/>
    <d v="2025-06-25T00:00:00"/>
    <s v="07:42:11"/>
    <x v="9"/>
    <s v="Android"/>
    <s v="Premium"/>
    <x v="1"/>
    <s v="MCH5538"/>
    <s v="Health"/>
    <n v="4520.9569553562997"/>
    <n v="0"/>
    <s v="Failed"/>
    <n v="4"/>
    <s v="Chrome"/>
    <s v="IN"/>
    <n v="-2.3961529951462901"/>
    <n v="67.599248975633998"/>
    <s v="Normal"/>
    <n v="4520.9569553562997"/>
  </r>
  <r>
    <s v="TXN000162"/>
    <s v="USR00151"/>
    <s v="UPI"/>
    <n v="2676.6103459381902"/>
    <d v="2025-06-25T00:00:00"/>
    <s v="20:19:05"/>
    <x v="8"/>
    <s v="Ios"/>
    <s v="New"/>
    <x v="1"/>
    <s v="MCH8701"/>
    <s v="Utilities"/>
    <n v="4657.5791712010696"/>
    <n v="0"/>
    <s v="Failed"/>
    <n v="4"/>
    <s v="Unknown"/>
    <s v="UK"/>
    <n v="-9.4095685675629905"/>
    <n v="46.268783168782697"/>
    <s v="Normal"/>
    <n v="4657.5791712010696"/>
  </r>
  <r>
    <s v="TXN000158"/>
    <s v="USR00162"/>
    <s v="NetBanking"/>
    <n v="4485.5924645531804"/>
    <d v="2025-06-25T00:00:00"/>
    <s v="22:27:50"/>
    <x v="8"/>
    <s v="Ios"/>
    <s v="Premium"/>
    <x v="1"/>
    <s v="MCH8263"/>
    <s v="Food"/>
    <n v="3384.0555617503901"/>
    <n v="375.89908179346702"/>
    <s v="Success"/>
    <n v="2"/>
    <s v="Unknown"/>
    <s v="US"/>
    <n v="-14.689066273546199"/>
    <n v="92.833577200562203"/>
    <s v="High"/>
    <n v="3008.1564799569201"/>
  </r>
  <r>
    <s v="TXN000118"/>
    <s v="USR00111"/>
    <s v="Card"/>
    <n v="7472.1806861207097"/>
    <d v="2025-06-26T00:00:00"/>
    <s v="09:32:54"/>
    <x v="5"/>
    <s v="Web"/>
    <s v="New"/>
    <x v="0"/>
    <s v="MCH4847"/>
    <s v="Entertainment"/>
    <n v="4614.8500438538604"/>
    <n v="0"/>
    <s v="Success"/>
    <n v="2"/>
    <s v="Safari"/>
    <s v="US"/>
    <n v="-1.32002729674132"/>
    <n v="49.924290752477503"/>
    <s v="Normal"/>
    <n v="4614.8500438538604"/>
  </r>
  <r>
    <s v="TXN000069"/>
    <s v="USR00250"/>
    <s v="Card"/>
    <n v="3405.1752948081098"/>
    <d v="2025-06-26T00:00:00"/>
    <s v="18:59:28"/>
    <x v="0"/>
    <s v="Web"/>
    <s v="Regular"/>
    <x v="1"/>
    <s v="MCH8962"/>
    <s v="Food"/>
    <n v="3936.1641033368001"/>
    <n v="0"/>
    <s v="Success"/>
    <n v="1"/>
    <s v="N/A"/>
    <s v="IN"/>
    <n v="25.065518558109599"/>
    <n v="92.204880212710705"/>
    <s v="High"/>
    <n v="3936.1641033368001"/>
  </r>
  <r>
    <s v="TXN000469"/>
    <s v="USR00037"/>
    <s v="NetBanking"/>
    <n v="7818.13983007349"/>
    <d v="2025-06-26T00:00:00"/>
    <s v="00:07:54"/>
    <x v="3"/>
    <s v="Web"/>
    <s v="Premium"/>
    <x v="1"/>
    <s v="MCH7331"/>
    <s v="Retail"/>
    <n v="3706.7803725988601"/>
    <n v="0"/>
    <s v="Pending"/>
    <n v="2"/>
    <s v="Unknown"/>
    <s v="IN"/>
    <n v="-27.8022181440708"/>
    <n v="77.720424735085203"/>
    <s v="Normal"/>
    <n v="3706.7803725988601"/>
  </r>
  <r>
    <s v="TXN000404"/>
    <s v="USR00054"/>
    <s v="UPI"/>
    <n v="18201.618943830701"/>
    <d v="2025-06-27T00:00:00"/>
    <s v="05:59:58"/>
    <x v="3"/>
    <s v="Ios"/>
    <s v="Regular"/>
    <x v="0"/>
    <s v="MCH6675"/>
    <s v="Retail"/>
    <n v="2347.8095473130302"/>
    <n v="413.19515580027797"/>
    <s v="Success"/>
    <n v="2"/>
    <s v="Edge"/>
    <s v="US"/>
    <n v="-9.8303845353288093"/>
    <n v="8.4387947894987008"/>
    <s v="Low"/>
    <n v="1934.61439151275"/>
  </r>
  <r>
    <s v="TXN000124"/>
    <s v="USR00124"/>
    <s v="UPI"/>
    <n v="43374.027555628702"/>
    <d v="2025-06-27T00:00:00"/>
    <s v="02:27:06"/>
    <x v="9"/>
    <s v="Ios"/>
    <s v="Regular"/>
    <x v="1"/>
    <s v="MCH6244"/>
    <s v="Retail"/>
    <n v="1664.2338699372399"/>
    <n v="223.16317999328101"/>
    <s v="Success"/>
    <n v="1"/>
    <s v="Unknown"/>
    <s v="US"/>
    <n v="-23.216821929929399"/>
    <n v="73.835127712119501"/>
    <s v="Normal"/>
    <n v="1441.0706899439599"/>
  </r>
  <r>
    <s v="TXN000360"/>
    <s v="USR00249"/>
    <s v="Wallet"/>
    <n v="13687.862550542901"/>
    <d v="2025-06-28T00:00:00"/>
    <s v="02:00:23"/>
    <x v="8"/>
    <s v="Android"/>
    <s v="New"/>
    <x v="1"/>
    <s v="MCH5683"/>
    <s v="Food"/>
    <n v="450.72099377265602"/>
    <n v="0"/>
    <s v="Failed"/>
    <n v="0"/>
    <s v="Safari"/>
    <s v="IN"/>
    <n v="14.053668071164999"/>
    <n v="10.580035942414"/>
    <s v="Low"/>
    <n v="450.72099377265602"/>
  </r>
  <r>
    <s v="TXN000323"/>
    <s v="USR00070"/>
    <s v="UPI"/>
    <n v="28923.834509168199"/>
    <d v="2025-06-30T00:00:00"/>
    <s v="03:59:56"/>
    <x v="9"/>
    <s v="Android"/>
    <s v="New"/>
    <x v="1"/>
    <s v="MCH7761"/>
    <s v="Entertainment"/>
    <n v="2843.7571326779998"/>
    <n v="0"/>
    <s v="Failed"/>
    <n v="2"/>
    <s v="Edge"/>
    <s v="UK"/>
    <n v="13.308025292991401"/>
    <n v="57.121390961479698"/>
    <s v="Normal"/>
    <n v="2843.7571326779998"/>
  </r>
  <r>
    <s v="TXN000196"/>
    <s v="USR00241"/>
    <s v="NetBanking"/>
    <n v="34260.120239203701"/>
    <d v="2025-06-30T00:00:00"/>
    <s v="03:44:59"/>
    <x v="9"/>
    <s v="Ios"/>
    <s v="Regular"/>
    <x v="1"/>
    <s v="MCH4792"/>
    <s v="Utilities"/>
    <n v="3142.0866727043999"/>
    <n v="116.42927843804701"/>
    <s v="Success"/>
    <n v="0"/>
    <s v="Chrome"/>
    <s v="US"/>
    <n v="-5.4724189637296403"/>
    <n v="93.624038780720298"/>
    <s v="High"/>
    <n v="3025.6573942663499"/>
  </r>
  <r>
    <s v="TXN000437"/>
    <s v="USR00051"/>
    <s v="Wallet"/>
    <n v="13398.269829207"/>
    <d v="2025-07-02T00:00:00"/>
    <s v="13:53:18"/>
    <x v="1"/>
    <s v="Web"/>
    <s v="Regular"/>
    <x v="0"/>
    <s v="MCH8754"/>
    <s v="Entertainment"/>
    <n v="3519.2852106708701"/>
    <n v="0"/>
    <s v="Failed"/>
    <n v="0"/>
    <s v="Chrome"/>
    <s v="UK"/>
    <n v="17.5434465215288"/>
    <n v="10.1952549580277"/>
    <s v="Low"/>
    <n v="3519.2852106708701"/>
  </r>
  <r>
    <s v="TXN000034"/>
    <s v="USR00058"/>
    <s v="NetBanking"/>
    <n v="2440.1337427818698"/>
    <d v="2025-07-02T00:00:00"/>
    <s v="17:28:56"/>
    <x v="0"/>
    <s v="Android"/>
    <s v="Regular"/>
    <x v="0"/>
    <s v="MCH3504"/>
    <s v="Health"/>
    <n v="1676.3628419347001"/>
    <n v="0"/>
    <s v="Success"/>
    <n v="1"/>
    <s v="Firefox"/>
    <s v="US"/>
    <n v="-10.7074900561277"/>
    <n v="17.603968215497101"/>
    <s v="Low"/>
    <n v="1676.3628419347001"/>
  </r>
  <r>
    <s v="TXN000061"/>
    <s v="USR00073"/>
    <s v="Card"/>
    <n v="45532.516792323302"/>
    <d v="2025-07-04T00:00:00"/>
    <s v="03:37:18"/>
    <x v="7"/>
    <s v="Ios"/>
    <s v="New"/>
    <x v="0"/>
    <s v="MCH5591"/>
    <s v="Retail"/>
    <n v="1373.7056284369301"/>
    <n v="0"/>
    <s v="Failed"/>
    <n v="0"/>
    <s v="N/A"/>
    <s v="IN"/>
    <n v="-1.2778967658400699"/>
    <n v="40.610998050255802"/>
    <s v="Low"/>
    <n v="1373.7056284369301"/>
  </r>
  <r>
    <s v="TXN000481"/>
    <s v="USR00213"/>
    <s v="UPI"/>
    <n v="48388.199471533597"/>
    <d v="2025-07-05T00:00:00"/>
    <s v="05:13:35"/>
    <x v="10"/>
    <s v="Android"/>
    <s v="Regular"/>
    <x v="1"/>
    <s v="MCH8244"/>
    <s v="Retail"/>
    <n v="333.68603455190998"/>
    <n v="0"/>
    <s v="Success"/>
    <n v="0"/>
    <s v="Safari"/>
    <s v="UK"/>
    <n v="26.508990003009401"/>
    <n v="47.160857074109202"/>
    <s v="Normal"/>
    <n v="333.68603455190998"/>
  </r>
  <r>
    <s v="TXN000172"/>
    <s v="USR00193"/>
    <s v="Card"/>
    <n v="36172.515221426598"/>
    <d v="2025-07-05T00:00:00"/>
    <s v="02:51:22"/>
    <x v="10"/>
    <s v="Android"/>
    <s v="Regular"/>
    <x v="1"/>
    <s v="MCH9790"/>
    <s v="Travel"/>
    <n v="4317.27690575416"/>
    <n v="0"/>
    <s v="Failed"/>
    <n v="1"/>
    <s v="Chrome"/>
    <s v="IN"/>
    <n v="15.2208309325794"/>
    <n v="57.983423828108997"/>
    <s v="Normal"/>
    <n v="4317.27690575416"/>
  </r>
  <r>
    <s v="TXN000082"/>
    <s v="USR00035"/>
    <s v="Wallet"/>
    <n v="34855.423164731197"/>
    <d v="2025-07-06T00:00:00"/>
    <s v="10:47:22"/>
    <x v="3"/>
    <s v="Ios"/>
    <s v="Regular"/>
    <x v="1"/>
    <s v="MCH3618"/>
    <s v="Food"/>
    <n v="75.441156548523495"/>
    <n v="0"/>
    <s v="Success"/>
    <n v="2"/>
    <s v="Unknown"/>
    <s v="US"/>
    <n v="-25.371337554836298"/>
    <n v="68.544052237129094"/>
    <s v="Normal"/>
    <n v="75.441156548523495"/>
  </r>
  <r>
    <s v="TXN000028"/>
    <s v="USR00130"/>
    <s v="UPI"/>
    <n v="10331.761892475601"/>
    <d v="2025-07-07T00:00:00"/>
    <s v="05:36:52"/>
    <x v="3"/>
    <s v="Ios"/>
    <s v="Regular"/>
    <x v="0"/>
    <s v="MCH2625"/>
    <s v="Travel"/>
    <n v="464.43844233447498"/>
    <n v="352.01572629582802"/>
    <s v="Failed"/>
    <n v="3"/>
    <s v="Safari"/>
    <s v="US"/>
    <n v="-11.42395529487"/>
    <n v="88.694211088286707"/>
    <s v="High"/>
    <n v="112.422716038647"/>
  </r>
  <r>
    <s v="TXN000419"/>
    <s v="USR00136"/>
    <s v="UPI"/>
    <n v="10979.353063954901"/>
    <d v="2025-07-07T00:00:00"/>
    <s v="17:42:18"/>
    <x v="1"/>
    <s v="Ios"/>
    <s v="New"/>
    <x v="0"/>
    <s v="MCH2268"/>
    <s v="Utilities"/>
    <n v="1533.3599850153801"/>
    <n v="0"/>
    <s v="Success"/>
    <n v="3"/>
    <s v="Firefox"/>
    <s v="US"/>
    <n v="22.662777641816401"/>
    <n v="32.307106840575102"/>
    <s v="Low"/>
    <n v="1533.3599850153801"/>
  </r>
  <r>
    <s v="TXN000201"/>
    <s v="USR00229"/>
    <s v="UPI"/>
    <n v="23710.993432489398"/>
    <d v="2025-07-07T00:00:00"/>
    <s v="10:01:59"/>
    <x v="4"/>
    <s v="N/A"/>
    <s v="New"/>
    <x v="0"/>
    <s v="MCH6450"/>
    <s v="Food"/>
    <n v="4084.6068983452401"/>
    <n v="155.11764187235201"/>
    <s v="Success"/>
    <n v="4"/>
    <s v="Safari"/>
    <s v="IN"/>
    <n v="-3.1227781691288601"/>
    <n v="84.040033148934"/>
    <s v="High"/>
    <n v="3929.4892564728898"/>
  </r>
  <r>
    <s v="TXN000231"/>
    <s v="USR00128"/>
    <s v="Card"/>
    <n v="27035.0749895402"/>
    <d v="2025-07-07T00:00:00"/>
    <s v="22:52:25"/>
    <x v="9"/>
    <s v="Ios"/>
    <s v="New"/>
    <x v="0"/>
    <s v="MCH2827"/>
    <s v="Utilities"/>
    <n v="354.05438983617199"/>
    <n v="0"/>
    <s v="Success"/>
    <n v="4"/>
    <s v="Edge"/>
    <s v="US"/>
    <n v="-9.0568545323069198"/>
    <n v="68.091721261725098"/>
    <s v="Normal"/>
    <n v="354.05438983617199"/>
  </r>
  <r>
    <s v="TXN000199"/>
    <s v="USR00132"/>
    <s v="Wallet"/>
    <n v="235.273880775051"/>
    <d v="2025-07-10T00:00:00"/>
    <s v="19:17:28"/>
    <x v="1"/>
    <s v="Ios"/>
    <s v="New"/>
    <x v="0"/>
    <s v="MCH7401"/>
    <s v="Entertainment"/>
    <n v="3708.5025388651202"/>
    <n v="0"/>
    <s v="Failed"/>
    <n v="2"/>
    <s v="N/A"/>
    <s v="US"/>
    <n v="-25.220764342774601"/>
    <n v="52.783403756127399"/>
    <s v="Normal"/>
    <n v="3708.5025388651202"/>
  </r>
  <r>
    <s v="TXN000259"/>
    <s v="USR00152"/>
    <s v="Wallet"/>
    <n v="26870.419439081299"/>
    <d v="2025-07-11T00:00:00"/>
    <s v="18:42:57"/>
    <x v="3"/>
    <s v="Ios"/>
    <s v="Regular"/>
    <x v="0"/>
    <s v="MCH4969"/>
    <s v="Health"/>
    <n v="2228.3518215791701"/>
    <n v="0"/>
    <s v="Success"/>
    <n v="2"/>
    <s v="Safari"/>
    <s v="IN"/>
    <n v="14.569876587941399"/>
    <n v="92.958309459756904"/>
    <s v="High"/>
    <n v="2228.3518215791701"/>
  </r>
  <r>
    <s v="TXN000250"/>
    <s v="USR00200"/>
    <s v="UPI"/>
    <n v="37644.915689937203"/>
    <d v="2025-07-11T00:00:00"/>
    <s v="07:12:07"/>
    <x v="10"/>
    <s v="Android"/>
    <s v="Regular"/>
    <x v="1"/>
    <s v="MCH8954"/>
    <s v="Retail"/>
    <n v="152.75225901362299"/>
    <n v="0"/>
    <s v="Failed"/>
    <n v="4"/>
    <s v="Unknown"/>
    <s v="UK"/>
    <n v="6.4095938153149703"/>
    <n v="62.437269792361"/>
    <s v="Normal"/>
    <n v="152.75225901362299"/>
  </r>
  <r>
    <s v="TXN000077"/>
    <s v="USR00188"/>
    <s v="Card"/>
    <n v="23059.946033280201"/>
    <d v="2025-07-12T00:00:00"/>
    <s v="15:01:05"/>
    <x v="9"/>
    <s v="Ios"/>
    <s v="Premium"/>
    <x v="1"/>
    <s v="MCH7169"/>
    <s v="Retail"/>
    <n v="1194.83564516398"/>
    <n v="0"/>
    <s v="Pending"/>
    <n v="1"/>
    <s v="Firefox"/>
    <s v="UK"/>
    <n v="-27.2158268390925"/>
    <n v="21.289425465999301"/>
    <s v="Low"/>
    <n v="1194.83564516398"/>
  </r>
  <r>
    <s v="TXN000253"/>
    <s v="USR00062"/>
    <s v="UPI"/>
    <n v="7242.0864788686304"/>
    <d v="2025-07-12T00:00:00"/>
    <s v="02:23:16"/>
    <x v="3"/>
    <s v="Ios"/>
    <s v="Regular"/>
    <x v="1"/>
    <s v="MCH5159"/>
    <s v="Entertainment"/>
    <n v="4330.0291552835897"/>
    <n v="0"/>
    <s v="Failed"/>
    <n v="1"/>
    <s v="Chrome"/>
    <s v="UK"/>
    <n v="22.058496883213401"/>
    <n v="63.103417571204901"/>
    <s v="Normal"/>
    <n v="4330.0291552835897"/>
  </r>
  <r>
    <s v="TXN000383"/>
    <s v="USR00161"/>
    <s v="Card"/>
    <n v="47226.045306305903"/>
    <d v="2025-07-13T00:00:00"/>
    <s v="04:57:20"/>
    <x v="4"/>
    <s v="Android"/>
    <s v="Regular"/>
    <x v="1"/>
    <s v="MCH6573"/>
    <s v="Travel"/>
    <n v="992.16802672048505"/>
    <n v="323.671067186546"/>
    <s v="Failed"/>
    <n v="0"/>
    <s v="Unknown"/>
    <s v="IN"/>
    <n v="-18.2934707985474"/>
    <n v="34.573025219299801"/>
    <s v="Low"/>
    <n v="668.49695953393905"/>
  </r>
  <r>
    <s v="TXN000145"/>
    <s v="USR00163"/>
    <s v="NetBanking"/>
    <n v="19000.754034969301"/>
    <d v="2025-07-14T00:00:00"/>
    <s v="02:21:05"/>
    <x v="8"/>
    <s v="Android"/>
    <s v="Premium"/>
    <x v="1"/>
    <s v="MCH6737"/>
    <s v="Food"/>
    <n v="653.34600853473898"/>
    <n v="0"/>
    <s v="Failed"/>
    <n v="0"/>
    <s v="Chrome"/>
    <s v="US"/>
    <n v="22.329669118170401"/>
    <n v="43.717204956017703"/>
    <s v="Low"/>
    <n v="653.34600853473898"/>
  </r>
  <r>
    <s v="TXN000288"/>
    <s v="USR00087"/>
    <s v="Wallet"/>
    <n v="39525.223392491898"/>
    <d v="2025-07-14T00:00:00"/>
    <s v="10:21:21"/>
    <x v="4"/>
    <s v="Web"/>
    <s v="Regular"/>
    <x v="1"/>
    <s v="MCH5713"/>
    <s v="Travel"/>
    <n v="1088.9932664518401"/>
    <n v="0"/>
    <s v="Success"/>
    <n v="2"/>
    <s v="Edge"/>
    <s v="IN"/>
    <n v="-25.440389621050102"/>
    <n v="13.524119124650101"/>
    <s v="Low"/>
    <n v="1088.9932664518401"/>
  </r>
  <r>
    <s v="TXN000245"/>
    <s v="USR00205"/>
    <s v="NetBanking"/>
    <n v="43943.592857134601"/>
    <d v="2025-07-15T00:00:00"/>
    <s v="07:48:14"/>
    <x v="0"/>
    <s v="Web"/>
    <s v="Premium "/>
    <x v="1"/>
    <s v="MCH2404"/>
    <s v="Entertainment"/>
    <n v="4229.3585775542897"/>
    <n v="0"/>
    <s v="Success"/>
    <n v="3"/>
    <s v="Chrome"/>
    <s v="UK"/>
    <n v="16.241518245613999"/>
    <n v="61.509128736998797"/>
    <s v="Normal"/>
    <n v="4229.3585775542897"/>
  </r>
  <r>
    <s v="TXN000085"/>
    <s v="USR00164"/>
    <s v="NetBanking"/>
    <n v="25810.279137724101"/>
    <d v="2025-07-17T00:00:00"/>
    <s v="12:20:22"/>
    <x v="3"/>
    <s v="Ios"/>
    <s v="Regular"/>
    <x v="1"/>
    <s v="MCH6368"/>
    <s v="Utilities"/>
    <n v="3429.1303949687799"/>
    <n v="0"/>
    <s v="Success"/>
    <n v="4"/>
    <s v="Firefox"/>
    <s v="US"/>
    <n v="-15.6444682349122"/>
    <n v="89.046957398388997"/>
    <s v="High"/>
    <n v="3429.1303949687799"/>
  </r>
  <r>
    <s v="TXN000095"/>
    <s v="USR00221"/>
    <s v="Card"/>
    <n v="17863.975065172101"/>
    <d v="2025-07-18T00:00:00"/>
    <s v="07:15:41"/>
    <x v="4"/>
    <s v="Android"/>
    <s v="Regular"/>
    <x v="1"/>
    <s v="MCH9095"/>
    <s v="Travel"/>
    <n v="3251.84428318559"/>
    <n v="0"/>
    <s v="Pending"/>
    <n v="1"/>
    <s v="Chrome"/>
    <s v="UK"/>
    <n v="21.872480494925"/>
    <n v="84.182536436526306"/>
    <s v="High"/>
    <n v="3251.84428318559"/>
  </r>
  <r>
    <s v="TXN000007"/>
    <s v="USR00189"/>
    <s v="Card"/>
    <n v="24070.467085131098"/>
    <d v="2025-07-18T00:00:00"/>
    <s v="01:34:36"/>
    <x v="10"/>
    <s v="Android"/>
    <s v="Regular"/>
    <x v="0"/>
    <s v="MCH4783"/>
    <s v="Utilities"/>
    <n v="143.779746703055"/>
    <n v="0"/>
    <s v="Failed"/>
    <n v="4"/>
    <s v="Chrome"/>
    <s v="US"/>
    <n v="-16.7129465176053"/>
    <n v="29.803933209445098"/>
    <s v="Low"/>
    <n v="143.779746703055"/>
  </r>
  <r>
    <s v="TXN000321"/>
    <s v="USR00124"/>
    <s v="Wallet"/>
    <n v="45646.198197668498"/>
    <d v="2025-07-18T00:00:00"/>
    <s v="07:38:20"/>
    <x v="1"/>
    <s v="Android"/>
    <s v="New"/>
    <x v="0"/>
    <s v="MCH5654"/>
    <s v="Food"/>
    <n v="4840.3269829268902"/>
    <n v="0"/>
    <s v="Pending"/>
    <n v="0"/>
    <s v="Safari"/>
    <s v="US"/>
    <n v="-28.547637334648201"/>
    <n v="94.496706364007593"/>
    <s v="High"/>
    <n v="4840.3269829268902"/>
  </r>
  <r>
    <s v="TXN000450"/>
    <s v="USR00197"/>
    <s v="UPI"/>
    <n v="4607.8143328226297"/>
    <d v="2025-07-21T00:00:00"/>
    <s v="11:56:10"/>
    <x v="7"/>
    <s v="Web"/>
    <s v="New"/>
    <x v="0"/>
    <s v="MCH8493"/>
    <s v="Retail"/>
    <n v="2799.7115368396699"/>
    <n v="0"/>
    <s v="Failed"/>
    <n v="3"/>
    <s v="Firefox"/>
    <s v="US"/>
    <n v="0"/>
    <n v="80.326340062712802"/>
    <s v="High"/>
    <n v="2799.7115368396699"/>
  </r>
  <r>
    <s v="TXN000372"/>
    <s v="USR00009"/>
    <s v="NetBanking"/>
    <n v="29792.944087051001"/>
    <d v="2025-07-21T00:00:00"/>
    <s v="05:43:08"/>
    <x v="4"/>
    <s v="Web"/>
    <s v="Regular"/>
    <x v="1"/>
    <s v="MCH9718"/>
    <s v="Health"/>
    <n v="319.83404081724001"/>
    <n v="418.1892887052"/>
    <s v="Pending"/>
    <n v="2"/>
    <s v="Safari"/>
    <s v="IN"/>
    <n v="-27.889522108104199"/>
    <n v="88.884251173853201"/>
    <s v="High"/>
    <n v="0"/>
  </r>
  <r>
    <s v="TXN000262"/>
    <s v="USR00118"/>
    <s v="Card"/>
    <n v="30237.497816418399"/>
    <d v="2025-07-23T00:00:00"/>
    <s v="09:37:46"/>
    <x v="5"/>
    <s v="Android"/>
    <s v="Premium "/>
    <x v="0"/>
    <s v="MCH9975"/>
    <s v="Utilities"/>
    <n v="622.01396456912698"/>
    <n v="0"/>
    <s v="Failed"/>
    <n v="3"/>
    <s v="Safari"/>
    <s v="US"/>
    <n v="-24.128579837013"/>
    <n v="39.238210093272102"/>
    <s v="Low"/>
    <n v="622.01396456912698"/>
  </r>
  <r>
    <s v="TXN000401"/>
    <s v="USR00110"/>
    <s v="Wallet"/>
    <n v="41549.659877605998"/>
    <d v="2025-07-23T00:00:00"/>
    <s v="15:47:50"/>
    <x v="7"/>
    <s v="Android"/>
    <s v="Regular"/>
    <x v="1"/>
    <s v="MCH3364"/>
    <s v="Travel"/>
    <n v="359.40936047653298"/>
    <n v="0"/>
    <s v="Failed"/>
    <n v="0"/>
    <s v="Safari"/>
    <s v="UK"/>
    <n v="19.980372912065199"/>
    <n v="60.413062885653503"/>
    <s v="Normal"/>
    <n v="359.40936047653298"/>
  </r>
  <r>
    <s v="TXN000343"/>
    <s v="USR00082"/>
    <s v="UPI"/>
    <n v="17534.411252561698"/>
    <d v="2025-07-24T00:00:00"/>
    <s v="19:47:46"/>
    <x v="3"/>
    <s v="Ios"/>
    <s v="Premium"/>
    <x v="0"/>
    <s v="MCH1297"/>
    <s v="Food"/>
    <n v="1050.63952616509"/>
    <n v="56.251565263315896"/>
    <s v="Success"/>
    <n v="3"/>
    <s v="Chrome"/>
    <s v="UK"/>
    <n v="-24.6287881921895"/>
    <n v="80.567537904270395"/>
    <s v="High"/>
    <n v="994.38796090177402"/>
  </r>
  <r>
    <s v="TXN000330"/>
    <s v="USR00147"/>
    <s v="UPI"/>
    <n v="10712.7711386272"/>
    <d v="2025-07-25T00:00:00"/>
    <s v="17:18:30"/>
    <x v="8"/>
    <s v="Web"/>
    <s v="Premium"/>
    <x v="1"/>
    <s v="MCH8362"/>
    <s v="Food"/>
    <n v="2382.9759591419001"/>
    <n v="0"/>
    <s v="Pending"/>
    <n v="3"/>
    <s v="Edge"/>
    <s v="IN"/>
    <n v="-22.285225289299799"/>
    <n v="98.268004872243395"/>
    <s v="High"/>
    <n v="2382.9759591419001"/>
  </r>
  <r>
    <s v="TXN000217"/>
    <s v="USR00170"/>
    <s v="NetBanking"/>
    <n v="37550.046045789197"/>
    <d v="2025-07-25T00:00:00"/>
    <s v="19:34:06"/>
    <x v="5"/>
    <s v="Web"/>
    <s v="New"/>
    <x v="0"/>
    <s v="MCH7785"/>
    <s v="Health"/>
    <n v="2696.57156922384"/>
    <n v="0"/>
    <s v="Pending"/>
    <n v="1"/>
    <s v="Chrome"/>
    <s v="US"/>
    <n v="1.6497566734956901"/>
    <n v="28.6815747207031"/>
    <s v="Low"/>
    <n v="2696.57156922384"/>
  </r>
  <r>
    <s v="TXN000454"/>
    <s v="USR00004"/>
    <s v="NetBanking"/>
    <n v="21915.950478226401"/>
    <d v="2025-07-26T00:00:00"/>
    <s v="02:11:27"/>
    <x v="8"/>
    <s v="Web"/>
    <s v="Premium "/>
    <x v="1"/>
    <s v="MCH3994"/>
    <s v="Health"/>
    <n v="467.108612471463"/>
    <n v="0"/>
    <s v="Success"/>
    <n v="1"/>
    <s v="Edge"/>
    <s v="UK"/>
    <n v="13.2695560928326"/>
    <n v="24.985379607833"/>
    <s v="Low"/>
    <n v="467.108612471463"/>
  </r>
  <r>
    <s v="TXN000309"/>
    <s v="USR00038"/>
    <s v="UPI"/>
    <n v="10358.432437944301"/>
    <d v="2025-07-27T00:00:00"/>
    <s v="03:21:41"/>
    <x v="3"/>
    <s v="Web"/>
    <s v="Regular"/>
    <x v="0"/>
    <s v="MCH4178"/>
    <s v="Health"/>
    <n v="3497.9789406130299"/>
    <n v="0"/>
    <s v="Success"/>
    <n v="3"/>
    <s v="Safari"/>
    <s v="UK"/>
    <n v="-20.183494749377299"/>
    <n v="1.5447427733077901"/>
    <s v="Low"/>
    <n v="3497.9789406130299"/>
  </r>
  <r>
    <s v="TXN000413"/>
    <s v="USR00142"/>
    <s v="UPI"/>
    <n v="9187.1462271969995"/>
    <d v="2025-07-27T00:00:00"/>
    <s v="07:57:27"/>
    <x v="8"/>
    <s v="Android"/>
    <s v="New"/>
    <x v="1"/>
    <s v="MCH1615"/>
    <s v="Utilities"/>
    <n v="1933.38533319053"/>
    <n v="234.51246985894201"/>
    <s v="Failed"/>
    <n v="3"/>
    <s v="Chrome"/>
    <s v="US"/>
    <n v="-24.294381137356201"/>
    <n v="80.472598374143104"/>
    <s v="High"/>
    <n v="1698.87286333159"/>
  </r>
  <r>
    <s v="TXN000344"/>
    <s v="USR00104"/>
    <s v="UPI"/>
    <n v="23464.768239224799"/>
    <d v="2025-07-28T00:00:00"/>
    <s v="14:05:46"/>
    <x v="3"/>
    <s v="Android"/>
    <s v="Premium"/>
    <x v="1"/>
    <s v="MCH6856"/>
    <s v="Utilities"/>
    <n v="2750.17718544944"/>
    <n v="0"/>
    <s v="Success"/>
    <n v="4"/>
    <s v="Safari"/>
    <s v="IN"/>
    <n v="-3.9733035355707802"/>
    <n v="66.918365219914307"/>
    <s v="Normal"/>
    <n v="2750.17718544944"/>
  </r>
  <r>
    <s v="TXN000256"/>
    <s v="USR00051"/>
    <s v="NetBanking"/>
    <n v="24749.676207830002"/>
    <d v="2025-07-29T00:00:00"/>
    <s v="13:35:10"/>
    <x v="5"/>
    <s v="Web"/>
    <s v="New"/>
    <x v="0"/>
    <s v="MCH9476"/>
    <s v="Health"/>
    <n v="2408.8060306195698"/>
    <n v="0"/>
    <s v="Success"/>
    <n v="4"/>
    <s v="Safari"/>
    <s v="IN"/>
    <n v="-5.8397275047601296"/>
    <n v="71.526708250924401"/>
    <s v="Normal"/>
    <n v="2408.8060306195698"/>
  </r>
  <r>
    <s v="TXN000040"/>
    <s v="USR00059"/>
    <s v="Wallet"/>
    <n v="15458.0842645754"/>
    <d v="2025-07-29T00:00:00"/>
    <s v="09:59:54"/>
    <x v="0"/>
    <s v="Ios"/>
    <s v="Regular"/>
    <x v="1"/>
    <s v="MCH2587"/>
    <s v="Retail"/>
    <n v="3644.25073375595"/>
    <n v="0"/>
    <s v="Success"/>
    <n v="4"/>
    <s v="Unknown"/>
    <s v="UK"/>
    <n v="9.8460402688734607"/>
    <n v="77.156972605582595"/>
    <s v="Normal"/>
    <n v="3644.25073375595"/>
  </r>
  <r>
    <s v="TXN000442"/>
    <s v="USR00226"/>
    <s v="Wallet"/>
    <n v="28707.389471152099"/>
    <d v="2025-07-30T00:00:00"/>
    <s v="12:33:03"/>
    <x v="7"/>
    <s v="Web"/>
    <s v="Premium "/>
    <x v="1"/>
    <s v="MCH7754"/>
    <s v="Retail"/>
    <n v="2602.5989278315101"/>
    <n v="357.66115526456798"/>
    <s v="Failed"/>
    <n v="0"/>
    <s v="N/A"/>
    <s v="IN"/>
    <n v="3.6886766242006099"/>
    <n v="67.400735646271102"/>
    <s v="Normal"/>
    <n v="2244.9377725669401"/>
  </r>
  <r>
    <s v="TXN000459"/>
    <s v="USR00172"/>
    <s v="NetBanking"/>
    <n v="19892.803715297501"/>
    <d v="2025-08-01T00:00:00"/>
    <s v="14:17:57"/>
    <x v="8"/>
    <s v="Web"/>
    <s v="New"/>
    <x v="0"/>
    <s v="MCH2644"/>
    <s v="Entertainment"/>
    <n v="3712.3457416719998"/>
    <n v="298.84116776172903"/>
    <s v="Success"/>
    <n v="0"/>
    <s v="Edge"/>
    <s v="IN"/>
    <n v="13.403681331295701"/>
    <n v="21.356730033619201"/>
    <s v="Low"/>
    <n v="3413.5045739102702"/>
  </r>
  <r>
    <s v="TXN000338"/>
    <s v="USR00233"/>
    <s v="NetBanking"/>
    <n v="15049.8359971472"/>
    <d v="2025-08-02T00:00:00"/>
    <s v="00:17:51"/>
    <x v="0"/>
    <s v="Android"/>
    <s v="Regular"/>
    <x v="1"/>
    <s v="MCH3077"/>
    <s v="Travel"/>
    <n v="2900.14002073334"/>
    <n v="0"/>
    <s v="Failed"/>
    <n v="1"/>
    <s v="Safari"/>
    <s v="IN"/>
    <n v="5.1046689823929698"/>
    <n v="4.4661216378898798"/>
    <s v="Low"/>
    <n v="2900.14002073334"/>
  </r>
  <r>
    <s v="TXN000359"/>
    <s v="USR00112"/>
    <s v="Card"/>
    <n v="37686.986415297797"/>
    <d v="2025-08-02T00:00:00"/>
    <s v="06:38:49"/>
    <x v="5"/>
    <s v="Ios"/>
    <s v="Premium "/>
    <x v="1"/>
    <s v="MCH8240"/>
    <s v="Travel"/>
    <n v="1447.7211992611501"/>
    <n v="0"/>
    <s v="Failed"/>
    <n v="1"/>
    <s v="Safari"/>
    <s v="UK"/>
    <n v="1.6289028975158799"/>
    <n v="63.3464119235773"/>
    <s v="Normal"/>
    <n v="1447.7211992611501"/>
  </r>
  <r>
    <s v="TXN000019"/>
    <s v="USR00152"/>
    <s v="Card"/>
    <n v="34616.5484187287"/>
    <d v="2025-08-03T00:00:00"/>
    <s v="10:36:46"/>
    <x v="3"/>
    <s v="Android"/>
    <s v="Regular"/>
    <x v="1"/>
    <s v="MCH1584"/>
    <s v="Entertainment"/>
    <n v="2110.5007644051402"/>
    <n v="0"/>
    <s v="Failed"/>
    <n v="0"/>
    <s v="N/A"/>
    <s v="IN"/>
    <n v="5.4076443555925202"/>
    <n v="38.293738229161697"/>
    <s v="Low"/>
    <n v="2110.5007644051402"/>
  </r>
  <r>
    <s v="TXN000117"/>
    <s v="USR00082"/>
    <s v="NetBanking"/>
    <n v="3210.8339893109501"/>
    <d v="2025-08-03T00:00:00"/>
    <s v="17:18:35"/>
    <x v="2"/>
    <s v="Ios"/>
    <s v="Premium "/>
    <x v="0"/>
    <s v="MCH1961"/>
    <s v="Utilities"/>
    <n v="3542.8952120264598"/>
    <n v="0"/>
    <s v="Success"/>
    <n v="4"/>
    <s v="Unknown"/>
    <s v="UK"/>
    <n v="-0.87014158304019096"/>
    <n v="73.962168465299499"/>
    <s v="Normal"/>
    <n v="3542.8952120264598"/>
  </r>
  <r>
    <s v="TXN000182"/>
    <s v="USR00142"/>
    <s v="UPI"/>
    <n v="36838.734466554597"/>
    <d v="2025-08-04T00:00:00"/>
    <s v="15:06:51"/>
    <x v="1"/>
    <s v="Android"/>
    <s v="Regular"/>
    <x v="1"/>
    <s v="MCH3415"/>
    <s v="Travel"/>
    <n v="1197.6143939879"/>
    <n v="0"/>
    <s v="Success"/>
    <n v="4"/>
    <s v="Unknown"/>
    <s v="UK"/>
    <n v="-19.852508241349302"/>
    <n v="92.141933487632798"/>
    <s v="High"/>
    <n v="1197.6143939879"/>
  </r>
  <r>
    <s v="TXN000128"/>
    <s v="USR00015"/>
    <s v="Wallet"/>
    <n v="36896.519784081604"/>
    <d v="2025-08-04T00:00:00"/>
    <s v="20:17:02"/>
    <x v="9"/>
    <s v="Android"/>
    <s v="New"/>
    <x v="1"/>
    <s v="MCH9849"/>
    <s v="Utilities"/>
    <n v="1203.71041885963"/>
    <n v="0"/>
    <s v="Success"/>
    <n v="1"/>
    <s v="Chrome"/>
    <s v="UK"/>
    <n v="23.196929339361301"/>
    <n v="12.684392689259701"/>
    <s v="Low"/>
    <n v="1203.71041885963"/>
  </r>
  <r>
    <s v="TXN000355"/>
    <s v="USR00099"/>
    <s v="Card"/>
    <n v="38291.278425205397"/>
    <d v="2025-08-05T00:00:00"/>
    <s v="04:28:36"/>
    <x v="0"/>
    <s v="Web"/>
    <s v="Regular"/>
    <x v="0"/>
    <s v="MCH6672"/>
    <s v="Health"/>
    <n v="2928.7428119680399"/>
    <n v="0"/>
    <s v="Success"/>
    <n v="4"/>
    <s v="Edge"/>
    <s v="UK"/>
    <n v="-18.719056968222699"/>
    <n v="97.195084525980604"/>
    <s v="High"/>
    <n v="2928.7428119680399"/>
  </r>
  <r>
    <s v="TXN000109"/>
    <s v="USR00206"/>
    <s v="NetBanking"/>
    <n v="29904.176304545999"/>
    <d v="2025-08-06T00:00:00"/>
    <s v="21:20:21"/>
    <x v="4"/>
    <s v="Android"/>
    <s v="Regular"/>
    <x v="1"/>
    <s v="MCH5827"/>
    <s v="Utilities"/>
    <n v="1573.9769201081201"/>
    <n v="0"/>
    <s v="Pending"/>
    <n v="0"/>
    <s v="Firefox"/>
    <s v="UK"/>
    <n v="27.713294323542499"/>
    <n v="93.426979146387694"/>
    <s v="High"/>
    <n v="1573.9769201081201"/>
  </r>
  <r>
    <s v="TXN000249"/>
    <s v="USR00198"/>
    <s v="UPI"/>
    <n v="49884.861534599797"/>
    <d v="2025-08-07T00:00:00"/>
    <s v="00:22:36"/>
    <x v="8"/>
    <s v="Web"/>
    <s v="Premium"/>
    <x v="0"/>
    <s v="MCH6555"/>
    <s v="Travel"/>
    <n v="1665.09665026628"/>
    <n v="319.48151098664198"/>
    <s v="Success"/>
    <n v="3"/>
    <s v="Edge"/>
    <s v="IN"/>
    <n v="28.357596265953202"/>
    <n v="58.6646327774925"/>
    <s v="Normal"/>
    <n v="1345.6151392796401"/>
  </r>
  <r>
    <s v="TXN000464"/>
    <s v="USR00117"/>
    <s v="NetBanking"/>
    <n v="27038.154667518898"/>
    <d v="2025-08-08T00:00:00"/>
    <s v="00:19:15"/>
    <x v="2"/>
    <s v="Ios"/>
    <s v="Premium "/>
    <x v="0"/>
    <s v="MCH8269"/>
    <s v="Travel"/>
    <n v="2614.4819677279302"/>
    <n v="0"/>
    <s v="Failed"/>
    <n v="1"/>
    <s v="Firefox"/>
    <s v="UK"/>
    <n v="-6.9503545227922503"/>
    <n v="61.0907522158397"/>
    <s v="Normal"/>
    <n v="2614.4819677279302"/>
  </r>
  <r>
    <s v="TXN000434"/>
    <s v="USR00038"/>
    <s v="NetBanking"/>
    <n v="-10000"/>
    <d v="2025-08-09T00:00:00"/>
    <s v="04:31:59"/>
    <x v="7"/>
    <s v="Android"/>
    <s v="Premium "/>
    <x v="0"/>
    <s v="MCH5603"/>
    <s v="N/A"/>
    <n v="4291.97385314238"/>
    <n v="0"/>
    <s v="Failed"/>
    <n v="1"/>
    <s v="Safari"/>
    <s v="IN"/>
    <n v="0.38103319684873999"/>
    <n v="30.349623178901499"/>
    <s v="Low"/>
    <n v="4291.97385314238"/>
  </r>
  <r>
    <s v="TXN000329"/>
    <s v="USR00164"/>
    <s v="Card"/>
    <n v="11082.8509826467"/>
    <d v="2025-08-10T00:00:00"/>
    <s v="23:23:33"/>
    <x v="0"/>
    <s v="Web"/>
    <s v="New"/>
    <x v="1"/>
    <s v="MCH7636"/>
    <s v="Entertainment"/>
    <n v="1006.14204162174"/>
    <n v="0"/>
    <s v="Failed"/>
    <n v="1"/>
    <s v="Firefox"/>
    <s v="US"/>
    <n v="18.756758345290301"/>
    <n v="89.650425095899493"/>
    <s v="High"/>
    <n v="1006.14204162174"/>
  </r>
  <r>
    <s v="TXN000242"/>
    <s v="USR00190"/>
    <s v="UPI"/>
    <n v="36554.401926784099"/>
    <d v="2025-08-10T00:00:00"/>
    <s v="07:20:27"/>
    <x v="5"/>
    <s v="Web"/>
    <s v="New"/>
    <x v="1"/>
    <s v="MCH7124"/>
    <s v="Utilities"/>
    <n v="4969.2306781219504"/>
    <n v="229.18173971315301"/>
    <s v="Success"/>
    <n v="0"/>
    <s v="Chrome"/>
    <s v="US"/>
    <n v="-5.8563861111341904"/>
    <n v="84.440234319053204"/>
    <s v="High"/>
    <n v="4740.0489384087996"/>
  </r>
  <r>
    <s v="TXN000399"/>
    <s v="USR00146"/>
    <s v="Wallet"/>
    <n v="18216.654688535"/>
    <d v="2025-08-11T00:00:00"/>
    <s v="01:21:47"/>
    <x v="8"/>
    <s v="Web"/>
    <s v="Regular"/>
    <x v="1"/>
    <s v="MCH8148"/>
    <s v="Food"/>
    <n v="2257.4799482059002"/>
    <n v="219.56533040242499"/>
    <s v="Success"/>
    <n v="0"/>
    <s v="Unknown"/>
    <s v="UK"/>
    <n v="22.108569072166201"/>
    <n v="2.6158342323419901"/>
    <s v="Low"/>
    <n v="2037.91461780348"/>
  </r>
  <r>
    <s v="TXN000229"/>
    <s v="USR00190"/>
    <s v="UPI"/>
    <n v="44993.405520079403"/>
    <d v="2025-08-11T00:00:00"/>
    <s v="16:34:48"/>
    <x v="4"/>
    <s v="Ios"/>
    <s v="New"/>
    <x v="0"/>
    <s v="MCH1464"/>
    <s v="Travel"/>
    <n v="965.35547246236399"/>
    <n v="403.97866405450998"/>
    <s v="Success"/>
    <n v="1"/>
    <s v="Firefox"/>
    <s v="US"/>
    <n v="23.747572373682399"/>
    <n v="14.6894163912933"/>
    <s v="Low"/>
    <n v="561.37680840785401"/>
  </r>
  <r>
    <s v="TXN000021"/>
    <s v="USR00150"/>
    <s v="Card"/>
    <n v="37520.546398551603"/>
    <d v="2025-08-11T00:00:00"/>
    <s v="16:48:55"/>
    <x v="10"/>
    <s v="Ios"/>
    <s v="Premium "/>
    <x v="1"/>
    <s v="MCH9551"/>
    <s v="Entertainment"/>
    <n v="4563.0430907182399"/>
    <n v="119.375885543012"/>
    <s v="Failed"/>
    <n v="3"/>
    <s v="Safari"/>
    <s v="IN"/>
    <n v="-13.0199618742553"/>
    <n v="82.462635280089302"/>
    <s v="High"/>
    <n v="4443.6672051752303"/>
  </r>
  <r>
    <s v="TXN000238"/>
    <s v="USR00225"/>
    <s v="NetBanking"/>
    <n v="999999"/>
    <d v="2025-08-12T00:00:00"/>
    <s v="16:55:08"/>
    <x v="5"/>
    <s v="Ios"/>
    <s v="Regular"/>
    <x v="1"/>
    <s v="MCH7543"/>
    <s v="Entertainment"/>
    <n v="2708.3545079727701"/>
    <n v="0"/>
    <s v="Failed"/>
    <n v="1"/>
    <s v="Unknown"/>
    <s v="US"/>
    <n v="-25.681150892200701"/>
    <n v="38.122995277487703"/>
    <s v="Low"/>
    <n v="2708.3545079727701"/>
  </r>
  <r>
    <s v="TXN000168"/>
    <s v="USR00104"/>
    <s v="Card"/>
    <n v="-100"/>
    <d v="2025-08-12T00:00:00"/>
    <s v="22:49:44"/>
    <x v="2"/>
    <s v="Web"/>
    <s v="Regular"/>
    <x v="1"/>
    <s v="MCH1972"/>
    <s v="Entertainment"/>
    <n v="58.136597706625899"/>
    <n v="0"/>
    <s v="Failed"/>
    <n v="1"/>
    <s v="Edge"/>
    <s v="US"/>
    <n v="-7.9289583235524903"/>
    <n v="87.460579450316601"/>
    <s v="High"/>
    <n v="58.136597706625899"/>
  </r>
  <r>
    <s v="TXN000221"/>
    <s v="USR00245"/>
    <s v="UPI"/>
    <n v="11861.0181286435"/>
    <d v="2025-08-12T00:00:00"/>
    <s v="20:53:37"/>
    <x v="4"/>
    <s v="Web"/>
    <s v="Regular"/>
    <x v="0"/>
    <s v="MCH5686"/>
    <s v="Entertainment"/>
    <n v="653.30353381784903"/>
    <n v="463.872866537704"/>
    <s v="Failed"/>
    <n v="0"/>
    <s v="Unknown"/>
    <s v="US"/>
    <n v="26.989752329182"/>
    <n v="50.0297874393992"/>
    <s v="Normal"/>
    <n v="189.430667280145"/>
  </r>
  <r>
    <s v="TXN000376"/>
    <s v="USR00048"/>
    <s v="Wallet"/>
    <n v="27880.407080690002"/>
    <d v="2025-08-13T00:00:00"/>
    <s v="03:49:32"/>
    <x v="3"/>
    <s v="Web"/>
    <s v="Regular"/>
    <x v="1"/>
    <s v="MCH3669"/>
    <s v="Food"/>
    <n v="4369.4981331551899"/>
    <n v="0"/>
    <s v="Failed"/>
    <n v="3"/>
    <s v="Safari"/>
    <s v="US"/>
    <n v="15.216607888679199"/>
    <n v="20.9534623950126"/>
    <s v="Low"/>
    <n v="4369.4981331551899"/>
  </r>
  <r>
    <s v="TXN000490"/>
    <s v="USR00223"/>
    <s v="N/A"/>
    <n v="4426.5900719229603"/>
    <d v="2025-08-13T00:00:00"/>
    <s v="19:44:06"/>
    <x v="4"/>
    <s v="Android"/>
    <s v="Regular"/>
    <x v="0"/>
    <s v="MCH2802"/>
    <s v="Utilities"/>
    <n v="959.73409228411094"/>
    <n v="0"/>
    <s v="Failed"/>
    <n v="4"/>
    <s v="Unknown"/>
    <s v="UK"/>
    <n v="2.5545271521348099"/>
    <n v="18.319824512663502"/>
    <s v="Low"/>
    <n v="959.73409228411094"/>
  </r>
  <r>
    <s v="TXN000146"/>
    <s v="USR00033"/>
    <s v="UPI"/>
    <n v="16938.597010208701"/>
    <d v="2025-08-14T00:00:00"/>
    <s v="01:22:43"/>
    <x v="0"/>
    <s v="Web"/>
    <s v="Premium"/>
    <x v="1"/>
    <s v="MCH4217"/>
    <s v="Entertainment"/>
    <n v="2108.5136300693398"/>
    <n v="304.84095413788901"/>
    <s v="Failed"/>
    <n v="3"/>
    <s v="Edge"/>
    <s v="US"/>
    <n v="-25.7245000411063"/>
    <n v="27.946944122964901"/>
    <s v="Low"/>
    <n v="1803.6726759314499"/>
  </r>
  <r>
    <s v="TXN000093"/>
    <s v="USR00004"/>
    <s v="Wallet"/>
    <n v="27480.893929449699"/>
    <d v="2025-08-14T00:00:00"/>
    <s v="20:51:45"/>
    <x v="10"/>
    <s v="Web"/>
    <s v="Regular"/>
    <x v="1"/>
    <s v="MCH2939"/>
    <s v="Retail"/>
    <n v="3009.3079348861402"/>
    <n v="0"/>
    <s v="Success"/>
    <n v="2"/>
    <s v="N/A"/>
    <s v="IN"/>
    <n v="14.223811058650501"/>
    <n v="84.993749140472403"/>
    <s v="High"/>
    <n v="3009.3079348861402"/>
  </r>
  <r>
    <s v="TXN000153"/>
    <s v="USR00028"/>
    <s v="UPI"/>
    <n v="475.96472039032898"/>
    <d v="2025-08-14T00:00:00"/>
    <s v="15:41:29"/>
    <x v="1"/>
    <s v="Ios"/>
    <s v="Regular"/>
    <x v="0"/>
    <s v="MCH7519"/>
    <s v="Food"/>
    <n v="2366.5032892663098"/>
    <n v="0"/>
    <s v="Success"/>
    <n v="2"/>
    <s v="Chrome"/>
    <s v="IN"/>
    <n v="2.9180583116750101"/>
    <n v="5.4684620753365598"/>
    <s v="Low"/>
    <n v="2366.5032892663098"/>
  </r>
  <r>
    <s v="TXN000273"/>
    <s v="USR00012"/>
    <s v="Wallet"/>
    <n v="41357.261507673"/>
    <d v="2025-08-14T00:00:00"/>
    <s v="15:31:31"/>
    <x v="1"/>
    <s v="Ios"/>
    <s v="Regular"/>
    <x v="1"/>
    <s v="MCH8910"/>
    <s v="Utilities"/>
    <n v="2254.9920021847302"/>
    <n v="0"/>
    <s v="Success"/>
    <n v="1"/>
    <s v="Firefox"/>
    <s v="UK"/>
    <n v="-21.4407389116103"/>
    <n v="41.114893234013898"/>
    <s v="Low"/>
    <n v="2254.9920021847302"/>
  </r>
  <r>
    <s v="TXN000107"/>
    <s v="USR00015"/>
    <s v="Wallet"/>
    <n v="43428.225241075801"/>
    <d v="2025-08-14T00:00:00"/>
    <s v="09:46:58"/>
    <x v="0"/>
    <s v="Android"/>
    <s v="Premium "/>
    <x v="0"/>
    <s v="MCH1807"/>
    <s v="Utilities"/>
    <n v="2038.87601879165"/>
    <n v="0"/>
    <s v="Failed"/>
    <n v="3"/>
    <s v="Unknown"/>
    <s v="UK"/>
    <n v="-8.6165700420057494"/>
    <n v="98.632817356012595"/>
    <s v="High"/>
    <n v="2038.87601879165"/>
  </r>
  <r>
    <s v="TXN000265"/>
    <s v="USR00216"/>
    <s v="NetBanking"/>
    <n v="24369.2383515808"/>
    <d v="2025-08-15T00:00:00"/>
    <s v="08:01:14"/>
    <x v="0"/>
    <s v="Ios"/>
    <s v="Premium "/>
    <x v="0"/>
    <s v="MCH1044"/>
    <s v="Travel"/>
    <n v="121.18711812155701"/>
    <n v="0"/>
    <s v="Success"/>
    <n v="4"/>
    <s v="Unknown"/>
    <s v="UK"/>
    <n v="-18.6968994399076"/>
    <n v="81.361572598071902"/>
    <s v="High"/>
    <n v="121.18711812155701"/>
  </r>
  <r>
    <s v="TXN000131"/>
    <s v="USR00089"/>
    <s v="UPI"/>
    <n v="42051.428295308797"/>
    <d v="2025-08-15T00:00:00"/>
    <s v="06:23:59"/>
    <x v="8"/>
    <s v="Android"/>
    <s v="Premium "/>
    <x v="1"/>
    <s v="MCH7715"/>
    <s v="Health"/>
    <n v="4324.24881142712"/>
    <n v="0"/>
    <s v="Pending"/>
    <n v="4"/>
    <s v="Chrome"/>
    <s v="US"/>
    <n v="-2.06966000835122"/>
    <n v="89.756219345315998"/>
    <s v="High"/>
    <n v="4324.24881142712"/>
  </r>
  <r>
    <s v="TXN000054"/>
    <s v="USR00064"/>
    <s v="UPI"/>
    <n v="30443.583692140099"/>
    <d v="2025-08-15T00:00:00"/>
    <s v="04:40:25"/>
    <x v="8"/>
    <s v="Android"/>
    <s v="Premium "/>
    <x v="0"/>
    <s v="MCH3028"/>
    <s v="Travel"/>
    <n v="3837.70947708424"/>
    <n v="0"/>
    <s v="Pending"/>
    <n v="4"/>
    <s v="Firefox"/>
    <s v="US"/>
    <n v="16.3728346478111"/>
    <n v="67.638937805490997"/>
    <s v="Normal"/>
    <n v="3837.70947708424"/>
  </r>
  <r>
    <s v="TXN000045"/>
    <s v="USR00015"/>
    <s v="Card"/>
    <n v="29538.799267168"/>
    <d v="2025-08-15T00:00:00"/>
    <s v="00:54:54"/>
    <x v="9"/>
    <s v="Web"/>
    <s v="New"/>
    <x v="0"/>
    <s v="MCH5647"/>
    <s v="Travel"/>
    <n v="3198.5386807435202"/>
    <n v="0"/>
    <s v="Success"/>
    <n v="0"/>
    <s v="Edge"/>
    <s v="IN"/>
    <n v="-23.6941469871817"/>
    <n v="88.820919321414905"/>
    <s v="High"/>
    <n v="3198.5386807435202"/>
  </r>
  <r>
    <s v="TXN000334"/>
    <s v="USR00148"/>
    <s v="Wallet"/>
    <n v="27909.537907613401"/>
    <d v="2025-08-16T00:00:00"/>
    <s v="05:52:30"/>
    <x v="8"/>
    <s v="Web"/>
    <s v="Regular"/>
    <x v="1"/>
    <s v="MCH3842"/>
    <s v="Entertainment"/>
    <n v="2094.8816187493599"/>
    <n v="0"/>
    <s v="Failed"/>
    <n v="4"/>
    <s v="Edge"/>
    <s v="US"/>
    <n v="7.5590348350772096"/>
    <n v="32.455410973092597"/>
    <s v="Low"/>
    <n v="2094.8816187493599"/>
  </r>
  <r>
    <s v="TXN000475"/>
    <s v="USR00095"/>
    <s v="NetBanking"/>
    <n v="35275.784929478803"/>
    <d v="2025-08-16T00:00:00"/>
    <s v="11:16:38"/>
    <x v="7"/>
    <s v="Ios"/>
    <s v="Premium "/>
    <x v="1"/>
    <s v="MCH3035"/>
    <s v="Entertainment"/>
    <n v="2684.5032305381601"/>
    <n v="224.51888018498099"/>
    <s v="Pending"/>
    <n v="4"/>
    <s v="Safari"/>
    <s v="IN"/>
    <n v="16.306976344100899"/>
    <n v="94.215791702999297"/>
    <s v="High"/>
    <n v="2459.9843503531802"/>
  </r>
  <r>
    <s v="TXN000226"/>
    <s v="USR00044"/>
    <s v="UPI"/>
    <n v="34180.8049645149"/>
    <d v="2025-08-21T00:00:00"/>
    <s v="17:44:20"/>
    <x v="8"/>
    <s v="Web"/>
    <s v="Regular"/>
    <x v="0"/>
    <s v="MCH1140"/>
    <s v="Entertainment"/>
    <n v="4759.4144667965802"/>
    <n v="53.106913794228099"/>
    <s v="Success"/>
    <n v="3"/>
    <s v="Unknown"/>
    <s v="US"/>
    <n v="-26.1448366227233"/>
    <n v="60.358124712306299"/>
    <s v="Normal"/>
    <n v="4706.3075530023498"/>
  </r>
  <r>
    <s v="TXN000237"/>
    <s v="USR00190"/>
    <s v="Wallet"/>
    <n v="3424.29370830177"/>
    <d v="2025-08-21T00:00:00"/>
    <s v="12:48:40"/>
    <x v="7"/>
    <s v="Ios"/>
    <s v="New"/>
    <x v="1"/>
    <s v="MCH3843"/>
    <s v="Entertainment"/>
    <n v="3700.17922434413"/>
    <n v="288.67670060983397"/>
    <s v="Failed"/>
    <n v="2"/>
    <s v="Chrome"/>
    <s v="UK"/>
    <n v="10.198195445799399"/>
    <n v="31.8352022136011"/>
    <s v="Low"/>
    <n v="3411.5025237343002"/>
  </r>
  <r>
    <s v="TXN000378"/>
    <s v="USR00131"/>
    <s v="UPI"/>
    <n v="40285.2168711595"/>
    <d v="2025-08-21T00:00:00"/>
    <s v="17:31:55"/>
    <x v="10"/>
    <s v="Android"/>
    <s v="Regular"/>
    <x v="0"/>
    <s v="MCH4981"/>
    <s v="Retail"/>
    <n v="2462.5529862766102"/>
    <n v="410.91966137645102"/>
    <s v="Failed"/>
    <n v="3"/>
    <s v="Firefox"/>
    <s v="US"/>
    <n v="16.325371432877098"/>
    <n v="90.438113466552295"/>
    <s v="High"/>
    <n v="2051.63332490016"/>
  </r>
  <r>
    <s v="TXN000204"/>
    <s v="USR00237"/>
    <s v="Wallet"/>
    <n v="5424.2925806604599"/>
    <d v="2025-08-23T00:00:00"/>
    <s v="01:09:24"/>
    <x v="9"/>
    <s v="Web"/>
    <s v="New"/>
    <x v="1"/>
    <s v="MCH6874"/>
    <s v="Food"/>
    <n v="3374.3593275476801"/>
    <n v="0"/>
    <s v="Failed"/>
    <n v="3"/>
    <s v="Firefox"/>
    <s v="UK"/>
    <n v="-22.430814222731001"/>
    <n v="46.997843465779397"/>
    <s v="Normal"/>
    <n v="3374.3593275476801"/>
  </r>
  <r>
    <s v="TXN000060"/>
    <s v="USR00021"/>
    <s v="NetBanking"/>
    <n v="22600.431326063601"/>
    <d v="2025-08-24T00:00:00"/>
    <s v="01:37:45"/>
    <x v="6"/>
    <s v="Android"/>
    <s v="Regular"/>
    <x v="0"/>
    <s v="MCH1165"/>
    <s v="Health"/>
    <n v="4521.0781202209"/>
    <n v="0"/>
    <s v="Failed"/>
    <n v="4"/>
    <s v="Chrome"/>
    <s v="US"/>
    <n v="-25.812030906315002"/>
    <n v="14.5567509833236"/>
    <s v="Low"/>
    <n v="4521.0781202209"/>
  </r>
  <r>
    <s v="TXN000290"/>
    <s v="USR00224"/>
    <s v="UPI"/>
    <n v="32603.223828313501"/>
    <d v="2025-08-24T00:00:00"/>
    <s v="12:17:01"/>
    <x v="0"/>
    <s v="Android"/>
    <s v="New"/>
    <x v="0"/>
    <s v="MCH2170"/>
    <s v="Utilities"/>
    <n v="4849.5988975764703"/>
    <n v="0"/>
    <s v="Success"/>
    <n v="1"/>
    <s v="Chrome"/>
    <s v="IN"/>
    <n v="-19.435042018097"/>
    <n v="40.788261019698297"/>
    <s v="Low"/>
    <n v="4849.5988975764703"/>
  </r>
  <r>
    <s v="TXN000063"/>
    <s v="USR00018"/>
    <s v="Wallet"/>
    <n v="26227.753573149101"/>
    <d v="2025-08-24T00:00:00"/>
    <s v="12:40:22"/>
    <x v="10"/>
    <s v="Web"/>
    <s v="Regular"/>
    <x v="1"/>
    <s v="MCH5524"/>
    <s v="Health"/>
    <n v="457.90956071664402"/>
    <n v="0"/>
    <s v="Success"/>
    <n v="0"/>
    <s v="Edge"/>
    <s v="IN"/>
    <n v="15.1401106786731"/>
    <n v="57.688327497694601"/>
    <s v="Normal"/>
    <n v="457.90956071664402"/>
  </r>
  <r>
    <s v="TXN000332"/>
    <s v="USR00195"/>
    <s v="Wallet"/>
    <n v="48779.511652569498"/>
    <d v="2025-08-24T00:00:00"/>
    <s v="18:21:23"/>
    <x v="0"/>
    <s v="Web"/>
    <s v="Regular"/>
    <x v="1"/>
    <s v="MCH1194"/>
    <s v="Health"/>
    <n v="1922.21135045456"/>
    <n v="192.529027859481"/>
    <s v="Failed"/>
    <n v="2"/>
    <s v="Safari"/>
    <s v="UK"/>
    <n v="11.3783111795344"/>
    <n v="41.5439016259661"/>
    <s v="Low"/>
    <n v="1729.68232259508"/>
  </r>
  <r>
    <s v="TXN000179"/>
    <s v="USR00005"/>
    <s v="NetBanking"/>
    <n v="48402.9039185613"/>
    <d v="2025-08-25T00:00:00"/>
    <s v="12:34:29"/>
    <x v="8"/>
    <s v="Web"/>
    <s v="Regular"/>
    <x v="1"/>
    <s v="MCH3971"/>
    <s v="Health"/>
    <n v="3677.6529772925601"/>
    <n v="0"/>
    <s v="Success"/>
    <n v="2"/>
    <s v="Firefox"/>
    <s v="UK"/>
    <n v="-26.639861463660001"/>
    <n v="44.4755898202013"/>
    <s v="Low"/>
    <n v="3677.6529772925601"/>
  </r>
  <r>
    <s v="TXN000486"/>
    <s v="USR00128"/>
    <s v="NetBanking"/>
    <n v="48108.729409629501"/>
    <d v="2025-08-25T00:00:00"/>
    <s v="05:22:21"/>
    <x v="0"/>
    <s v="Android"/>
    <s v="Regular"/>
    <x v="0"/>
    <s v="MCH7578"/>
    <s v="Retail"/>
    <n v="2934.2964254451799"/>
    <n v="0"/>
    <s v="Failed"/>
    <n v="1"/>
    <s v="Firefox"/>
    <s v="US"/>
    <n v="21.335333644533801"/>
    <n v="91.163868973530398"/>
    <s v="High"/>
    <n v="2934.2964254451799"/>
  </r>
  <r>
    <s v="TXN000431"/>
    <s v="USR00022"/>
    <s v="NetBanking"/>
    <n v="20321.879592581699"/>
    <d v="2025-08-26T00:00:00"/>
    <s v="17:42:39"/>
    <x v="0"/>
    <s v="Web"/>
    <s v="Premium"/>
    <x v="0"/>
    <s v="MCH4861"/>
    <s v="Health"/>
    <n v="1969.0910164530801"/>
    <n v="238.93367745656801"/>
    <s v="Failed"/>
    <n v="2"/>
    <s v="Firefox"/>
    <s v="IN"/>
    <n v="22.024799829505401"/>
    <n v="29.239102384774"/>
    <s v="Low"/>
    <n v="1730.1573389965099"/>
  </r>
  <r>
    <s v="TXN000064"/>
    <s v="USR00132"/>
    <s v="Card"/>
    <n v="34912.329387523801"/>
    <d v="2025-08-27T00:00:00"/>
    <s v="18:44:10"/>
    <x v="8"/>
    <s v="Web"/>
    <s v="Premium "/>
    <x v="1"/>
    <s v="MCH3821"/>
    <s v="Food"/>
    <n v="3019.84089839228"/>
    <n v="0"/>
    <s v="Failed"/>
    <n v="4"/>
    <s v="N/A"/>
    <s v="IN"/>
    <n v="24.695473668367601"/>
    <n v="4.0951532149479801"/>
    <s v="Low"/>
    <n v="3019.84089839228"/>
  </r>
  <r>
    <s v="TXN000495"/>
    <s v="USR00174"/>
    <s v="Wallet"/>
    <n v="36232.756130729598"/>
    <d v="2025-08-28T00:00:00"/>
    <s v="20:35:39"/>
    <x v="1"/>
    <s v="Web"/>
    <s v="Regular"/>
    <x v="0"/>
    <s v="MCH2907"/>
    <s v="Entertainment"/>
    <n v="2069.0535621110398"/>
    <n v="438.56023383114399"/>
    <s v="Success"/>
    <n v="4"/>
    <s v="Safari"/>
    <s v="US"/>
    <n v="7.8510623187066999"/>
    <n v="43.346369973312399"/>
    <s v="Low"/>
    <n v="1630.4933282799"/>
  </r>
  <r>
    <s v="TXN000122"/>
    <s v="USR00217"/>
    <s v="NetBanking"/>
    <n v="37505.849977228499"/>
    <d v="2025-08-29T00:00:00"/>
    <s v="20:16:21"/>
    <x v="1"/>
    <s v="Ios"/>
    <s v="Premium"/>
    <x v="0"/>
    <s v="MCH5198"/>
    <s v="Utilities"/>
    <n v="3079.4422232993002"/>
    <n v="0"/>
    <s v="Success"/>
    <n v="4"/>
    <s v="Edge"/>
    <s v="UK"/>
    <n v="-14.7139448202828"/>
    <n v="71.899075685323297"/>
    <s v="Normal"/>
    <n v="3079.4422232993002"/>
  </r>
  <r>
    <s v="TXN000110"/>
    <s v="USR00215"/>
    <s v="UPI"/>
    <n v="49314.224093754099"/>
    <d v="2025-08-29T00:00:00"/>
    <s v="08:25:08"/>
    <x v="0"/>
    <s v="Android"/>
    <s v="Regular"/>
    <x v="0"/>
    <s v="MCH5524"/>
    <s v="Travel"/>
    <n v="2412.1403931189102"/>
    <n v="0"/>
    <s v="Success"/>
    <n v="2"/>
    <s v="Safari"/>
    <s v="IN"/>
    <n v="9.1561209129264007"/>
    <n v="52.2730678056855"/>
    <s v="Normal"/>
    <n v="2412.1403931189102"/>
  </r>
  <r>
    <s v="TXN000373"/>
    <s v="USR00233"/>
    <s v="NetBanking"/>
    <n v="17029.635170219899"/>
    <d v="2025-08-30T00:00:00"/>
    <s v="12:35:55"/>
    <x v="1"/>
    <s v="Android"/>
    <s v="New"/>
    <x v="1"/>
    <s v="MCH3172"/>
    <s v="Utilities"/>
    <n v="1604.51684424624"/>
    <n v="487.21965531923797"/>
    <s v="Failed"/>
    <n v="0"/>
    <s v="Unknown"/>
    <s v="IN"/>
    <n v="24.7092956182046"/>
    <n v="4.8324408855396896"/>
    <s v="Low"/>
    <n v="1117.297188927"/>
  </r>
  <r>
    <s v="TXN000247"/>
    <s v="USR00003"/>
    <s v="UPI"/>
    <n v="37098.899465838404"/>
    <d v="2025-08-30T00:00:00"/>
    <s v="23:44:18"/>
    <x v="7"/>
    <s v="Web"/>
    <s v="Premium"/>
    <x v="0"/>
    <s v="MCH5290"/>
    <s v="Entertainment"/>
    <n v="3603.7668201534998"/>
    <n v="17.188429175862598"/>
    <s v="Pending"/>
    <n v="2"/>
    <s v="Firefox"/>
    <s v="US"/>
    <n v="-29.6760874689794"/>
    <n v="45.950226657031699"/>
    <s v="Normal"/>
    <n v="3586.5783909776401"/>
  </r>
  <r>
    <s v="TXN000104"/>
    <s v="USR00014"/>
    <s v="UPI"/>
    <n v="7933.18636753807"/>
    <d v="2025-08-31T00:00:00"/>
    <s v="19:03:53"/>
    <x v="6"/>
    <s v="Android"/>
    <s v="Regular"/>
    <x v="1"/>
    <s v="MCH2956"/>
    <s v="Travel"/>
    <n v="4111.7330893158096"/>
    <n v="0"/>
    <s v="Failed"/>
    <n v="4"/>
    <s v="Firefox"/>
    <s v="US"/>
    <n v="19.071039804889899"/>
    <n v="17.461091698226198"/>
    <s v="Low"/>
    <n v="4111.7330893158096"/>
  </r>
  <r>
    <s v="TXN000480"/>
    <s v="USR00191"/>
    <s v="UPI"/>
    <n v="216.735592226335"/>
    <d v="2025-08-31T00:00:00"/>
    <s v="01:55:45"/>
    <x v="0"/>
    <s v="Android"/>
    <s v="Premium "/>
    <x v="1"/>
    <s v="MCH1298"/>
    <s v="Health"/>
    <n v="2437.2563004036401"/>
    <n v="335.38251272151803"/>
    <s v="Failed"/>
    <n v="0"/>
    <s v="Chrome"/>
    <s v="IN"/>
    <n v="-15.694369262791"/>
    <n v="27.138818823676498"/>
    <s v="Low"/>
    <n v="2101.8737876821201"/>
  </r>
  <r>
    <s v="TXN000427"/>
    <s v="USR00187"/>
    <s v="UPI"/>
    <n v="26530.117764888499"/>
    <d v="2025-08-31T00:00:00"/>
    <s v="17:41:59"/>
    <x v="5"/>
    <s v="Web"/>
    <s v="Regular"/>
    <x v="1"/>
    <s v="MCH7394"/>
    <s v="Travel"/>
    <n v="316.22072267802099"/>
    <n v="0"/>
    <s v="Pending"/>
    <n v="2"/>
    <s v="Safari"/>
    <s v="IN"/>
    <n v="-13.697548868754399"/>
    <n v="55.985538003447701"/>
    <s v="Normal"/>
    <n v="316.22072267802099"/>
  </r>
  <r>
    <s v="TXN000451"/>
    <s v="USR00061"/>
    <s v="Wallet"/>
    <n v="38572.197684220402"/>
    <d v="2025-08-31T00:00:00"/>
    <s v="01:46:43"/>
    <x v="9"/>
    <s v="Ios"/>
    <s v="Premium "/>
    <x v="1"/>
    <s v="MCH5103"/>
    <s v="Entertainment"/>
    <n v="2940.4004818426201"/>
    <n v="327.75498592305598"/>
    <s v="Pending"/>
    <n v="2"/>
    <s v="Edge"/>
    <s v="IN"/>
    <n v="14.901650005717199"/>
    <n v="27.200257373098999"/>
    <s v="Low"/>
    <n v="2612.6454959195598"/>
  </r>
  <r>
    <s v="TXN000059"/>
    <s v="USR00135"/>
    <s v="UPI"/>
    <n v="27417.570714265701"/>
    <d v="2025-09-02T00:00:00"/>
    <s v="08:10:03"/>
    <x v="1"/>
    <s v="Android"/>
    <s v="New"/>
    <x v="1"/>
    <s v="MCH9848"/>
    <s v="Entertainment"/>
    <n v="3950.45216127511"/>
    <n v="0"/>
    <s v="Failed"/>
    <n v="4"/>
    <s v="Safari"/>
    <s v="US"/>
    <n v="15.939140202311"/>
    <n v="37.2876509202178"/>
    <s v="Low"/>
    <n v="3950.45216127511"/>
  </r>
  <r>
    <s v="TXN000482"/>
    <s v="USR00160"/>
    <s v="UPI"/>
    <n v="362.16554606340702"/>
    <d v="2025-09-03T00:00:00"/>
    <s v="20:07:34"/>
    <x v="8"/>
    <s v="Web"/>
    <s v="New"/>
    <x v="0"/>
    <s v="MCH1923"/>
    <s v="Travel"/>
    <n v="914.21976367357297"/>
    <n v="0"/>
    <s v="Pending"/>
    <n v="1"/>
    <s v="N/A"/>
    <s v="UK"/>
    <n v="6.2246573137953902"/>
    <n v="71.098794146368306"/>
    <s v="Normal"/>
    <n v="914.21976367357297"/>
  </r>
  <r>
    <s v="TXN000049"/>
    <s v="USR00190"/>
    <s v="Wallet"/>
    <n v="32004.1317130147"/>
    <d v="2025-09-04T00:00:00"/>
    <s v="16:11:26"/>
    <x v="6"/>
    <s v="Ios"/>
    <s v="New"/>
    <x v="0"/>
    <s v="MCH2449"/>
    <s v="Health"/>
    <n v="4611.4912899417204"/>
    <n v="34.0186570458348"/>
    <s v="Failed"/>
    <n v="1"/>
    <s v="Safari"/>
    <s v="UK"/>
    <n v="-11.3377999643798"/>
    <n v="63.854372740191302"/>
    <s v="Normal"/>
    <n v="4577.4726328958895"/>
  </r>
  <r>
    <s v="TXN000207"/>
    <s v="USR00029"/>
    <s v="NetBanking"/>
    <n v="20485.062817502301"/>
    <d v="2025-09-06T00:00:00"/>
    <s v="22:18:08"/>
    <x v="3"/>
    <s v="Web"/>
    <s v="Regular"/>
    <x v="0"/>
    <s v="MCH9378"/>
    <s v="Entertainment"/>
    <n v="236.60373832852099"/>
    <n v="0"/>
    <s v="Failed"/>
    <n v="4"/>
    <s v="Unknown"/>
    <s v="IN"/>
    <n v="-28.215824322323801"/>
    <n v="92.374313126664902"/>
    <s v="High"/>
    <n v="236.60373832852099"/>
  </r>
  <r>
    <s v="TXN000472"/>
    <s v="USR00241"/>
    <s v="NetBanking"/>
    <n v="17284.7482290072"/>
    <d v="2025-09-07T00:00:00"/>
    <s v="20:34:56"/>
    <x v="8"/>
    <s v="Android"/>
    <s v="Regular"/>
    <x v="1"/>
    <s v="MCH3158"/>
    <s v="Food"/>
    <n v="3496.15262899039"/>
    <n v="0"/>
    <s v="Failed"/>
    <n v="2"/>
    <s v="Unknown"/>
    <s v="IN"/>
    <n v="19.846043315685598"/>
    <n v="53.3478475906293"/>
    <s v="Normal"/>
    <n v="3496.15262899039"/>
  </r>
  <r>
    <s v="TXN000010"/>
    <s v="USR00122"/>
    <s v="UPI"/>
    <n v="37503.957168806002"/>
    <d v="2025-09-07T00:00:00"/>
    <s v="12:22:46"/>
    <x v="3"/>
    <s v="Android"/>
    <s v="Regular"/>
    <x v="1"/>
    <s v="MCH5668"/>
    <s v="Health"/>
    <n v="707.99381140451396"/>
    <n v="0"/>
    <s v="Success"/>
    <n v="3"/>
    <s v="Safari"/>
    <s v="US"/>
    <n v="25.269764201672899"/>
    <n v="93.253608580222405"/>
    <s v="High"/>
    <n v="707.99381140451396"/>
  </r>
  <r>
    <s v="TXN000410"/>
    <s v="USR00161"/>
    <s v="UPI"/>
    <n v="28332.2533363314"/>
    <d v="2025-09-08T00:00:00"/>
    <s v="07:20:14"/>
    <x v="8"/>
    <s v="Web"/>
    <s v="Regular"/>
    <x v="0"/>
    <s v="MCH4866"/>
    <s v="Entertainment"/>
    <n v="3002.3480753970198"/>
    <n v="0"/>
    <s v="Failed"/>
    <n v="0"/>
    <s v="Firefox"/>
    <s v="IN"/>
    <n v="-21.5900739970362"/>
    <n v="41.080900100968101"/>
    <s v="Low"/>
    <n v="3002.3480753970198"/>
  </r>
  <r>
    <s v="TXN000048"/>
    <s v="USR00175"/>
    <s v="Card"/>
    <n v="39254.946370821097"/>
    <d v="2025-09-08T00:00:00"/>
    <s v="07:46:39"/>
    <x v="9"/>
    <s v="Android"/>
    <s v="New"/>
    <x v="0"/>
    <s v="MCH7837"/>
    <s v="Health"/>
    <n v="2640.86556608399"/>
    <n v="0"/>
    <s v="Success"/>
    <n v="1"/>
    <s v="Unknown"/>
    <s v="IN"/>
    <n v="17.260610420145301"/>
    <n v="3.9078686001955201"/>
    <s v="Low"/>
    <n v="2640.86556608399"/>
  </r>
  <r>
    <s v="TXN000264"/>
    <s v="USR00096"/>
    <s v="Wallet"/>
    <n v="27039.045791930599"/>
    <d v="2025-09-08T00:00:00"/>
    <s v="07:39:24"/>
    <x v="0"/>
    <s v="Web"/>
    <s v="Regular"/>
    <x v="1"/>
    <s v="MCH4939"/>
    <s v="Food"/>
    <n v="2537.2049663256898"/>
    <n v="0"/>
    <s v="Success"/>
    <n v="4"/>
    <s v="Firefox"/>
    <s v="US"/>
    <n v="3.2206700123659999"/>
    <n v="12.5524181227876"/>
    <s v="Low"/>
    <n v="2537.2049663256898"/>
  </r>
  <r>
    <s v="TXN000157"/>
    <s v="USR00012"/>
    <s v="Card"/>
    <n v="42555.794140023703"/>
    <d v="2025-09-08T00:00:00"/>
    <s v="15:29:44"/>
    <x v="5"/>
    <s v="Android"/>
    <s v="Regular"/>
    <x v="0"/>
    <s v="MCH5906"/>
    <s v="Retail"/>
    <n v="4273.5502225257296"/>
    <n v="0"/>
    <s v="Success"/>
    <n v="3"/>
    <s v="Firefox"/>
    <s v="IN"/>
    <n v="28.078187806197299"/>
    <n v="56.703278350122801"/>
    <s v="Normal"/>
    <n v="4273.5502225257296"/>
  </r>
  <r>
    <s v="TXN000298"/>
    <s v="USR00218"/>
    <s v="Wallet"/>
    <n v="6228.2580141021199"/>
    <d v="2025-09-14T00:00:00"/>
    <s v="06:43:46"/>
    <x v="9"/>
    <s v="Web"/>
    <s v="Premium "/>
    <x v="1"/>
    <s v="MCH2161"/>
    <s v="Retail"/>
    <n v="2565.3015073927099"/>
    <n v="0"/>
    <s v="Failed"/>
    <n v="1"/>
    <s v="Edge"/>
    <s v="UK"/>
    <n v="13.900775927248899"/>
    <n v="37.464921901482903"/>
    <s v="Low"/>
    <n v="2565.3015073927099"/>
  </r>
  <r>
    <s v="TXN000216"/>
    <s v="USR00066"/>
    <s v="UPI"/>
    <n v="41414.250270156801"/>
    <d v="2025-09-15T00:00:00"/>
    <s v="06:49:36"/>
    <x v="7"/>
    <s v="Web"/>
    <s v="Regular"/>
    <x v="1"/>
    <s v="MCH6877"/>
    <s v="Entertainment"/>
    <n v="1372.02128690885"/>
    <n v="0"/>
    <s v="Pending"/>
    <n v="1"/>
    <s v="Firefox"/>
    <s v="IN"/>
    <n v="22.8602450888825"/>
    <n v="63.845507065214399"/>
    <s v="Normal"/>
    <n v="1372.02128690885"/>
  </r>
  <r>
    <s v="TXN000111"/>
    <s v="USR00249"/>
    <s v="UPI"/>
    <n v="26875.8732347679"/>
    <d v="2025-09-16T00:00:00"/>
    <s v="14:09:23"/>
    <x v="4"/>
    <s v="Android"/>
    <s v="Regular"/>
    <x v="0"/>
    <s v="MCH3284"/>
    <s v="Travel"/>
    <n v="3975.6619904347499"/>
    <n v="0"/>
    <s v="Success"/>
    <n v="3"/>
    <s v="Safari"/>
    <s v="IN"/>
    <n v="-2.6340284002445"/>
    <n v="29.158812816115699"/>
    <s v="Low"/>
    <n v="3975.6619904347499"/>
  </r>
  <r>
    <s v="TXN000097"/>
    <s v="USR00146"/>
    <s v="Wallet"/>
    <n v="6524.5450751522303"/>
    <d v="2025-09-17T00:00:00"/>
    <s v="01:48:12"/>
    <x v="3"/>
    <s v="Web"/>
    <s v="Regular"/>
    <x v="0"/>
    <s v="MCH2895"/>
    <s v="Food"/>
    <n v="3209.8353582311402"/>
    <n v="0"/>
    <s v="Pending"/>
    <n v="4"/>
    <s v="Safari"/>
    <s v="UK"/>
    <n v="-3.6895189980617999"/>
    <n v="31.6598060410569"/>
    <s v="Low"/>
    <n v="3209.8353582311402"/>
  </r>
  <r>
    <s v="TXN000114"/>
    <s v="USR00213"/>
    <s v="UPI"/>
    <n v="38021.774905985498"/>
    <d v="2025-09-18T00:00:00"/>
    <s v="04:03:49"/>
    <x v="3"/>
    <s v="Web"/>
    <s v="Premium"/>
    <x v="1"/>
    <s v="MCH5887"/>
    <s v="Retail"/>
    <n v="4672.6364170889301"/>
    <n v="0"/>
    <s v="Failed"/>
    <n v="0"/>
    <s v="Chrome"/>
    <s v="IN"/>
    <n v="28.8868557257478"/>
    <n v="17.244638897385901"/>
    <s v="Low"/>
    <n v="4672.6364170889301"/>
  </r>
  <r>
    <s v="TXN000152"/>
    <s v="USR00041"/>
    <s v="NetBanking"/>
    <n v="46691.222005617703"/>
    <d v="2025-09-18T00:00:00"/>
    <s v="14:56:54"/>
    <x v="10"/>
    <s v="Android"/>
    <s v="Regular"/>
    <x v="1"/>
    <s v="MCH3671"/>
    <s v="Entertainment"/>
    <n v="2673.8091525060699"/>
    <n v="0"/>
    <s v="Success"/>
    <n v="3"/>
    <s v="Edge"/>
    <s v="UK"/>
    <n v="-29.320044407730801"/>
    <n v="63.9775201570422"/>
    <s v="Normal"/>
    <n v="2673.8091525060699"/>
  </r>
  <r>
    <s v="TXN000478"/>
    <s v="USR00225"/>
    <s v="Card"/>
    <n v="3889.07717744414"/>
    <d v="2025-09-19T00:00:00"/>
    <s v="18:32:05"/>
    <x v="10"/>
    <s v="Android"/>
    <s v="Regular"/>
    <x v="0"/>
    <s v="MCH4823"/>
    <s v="Entertainment"/>
    <n v="3969.8620527888602"/>
    <n v="38.484591504008698"/>
    <s v="Pending"/>
    <n v="3"/>
    <s v="Unknown"/>
    <s v="US"/>
    <n v="27.6800778716884"/>
    <n v="74.412668571436996"/>
    <s v="Normal"/>
    <n v="3931.3774612848501"/>
  </r>
  <r>
    <s v="TXN000396"/>
    <s v="USR00099"/>
    <s v="NetBanking"/>
    <n v="31275.587425058198"/>
    <d v="2025-09-19T00:00:00"/>
    <s v="01:05:45"/>
    <x v="0"/>
    <s v="N/A"/>
    <s v="New"/>
    <x v="1"/>
    <s v="MCH6581"/>
    <s v="Travel"/>
    <n v="2745.7474711182099"/>
    <n v="0"/>
    <s v="Pending"/>
    <n v="4"/>
    <s v="Firefox"/>
    <s v="US"/>
    <n v="-27.592522784339401"/>
    <n v="98.190532228694295"/>
    <s v="High"/>
    <n v="2745.7474711182099"/>
  </r>
  <r>
    <s v="TXN000112"/>
    <s v="USR00190"/>
    <s v="Card"/>
    <n v="46209.683779460902"/>
    <d v="2025-09-19T00:00:00"/>
    <s v="09:07:23"/>
    <x v="4"/>
    <s v="Ios"/>
    <s v="Premium "/>
    <x v="1"/>
    <s v="MCH6313"/>
    <s v="Travel"/>
    <n v="4907.1459074045397"/>
    <n v="0"/>
    <s v="Failed"/>
    <n v="0"/>
    <s v="Edge"/>
    <s v="US"/>
    <n v="-6.1335989081376203"/>
    <n v="26.689928809877198"/>
    <s v="Low"/>
    <n v="4907.1459074045397"/>
  </r>
  <r>
    <s v="TXN000181"/>
    <s v="USR00247"/>
    <s v="NetBanking"/>
    <n v="10055.3956741822"/>
    <d v="2025-09-19T00:00:00"/>
    <s v="13:05:02"/>
    <x v="0"/>
    <s v="Ios"/>
    <s v="Premium"/>
    <x v="1"/>
    <s v="MCH8415"/>
    <s v="Travel"/>
    <n v="3627.78377307653"/>
    <n v="284.65249220610099"/>
    <s v="Failed"/>
    <n v="2"/>
    <s v="Firefox"/>
    <s v="UK"/>
    <n v="2.1222523583036601"/>
    <n v="1.37331880825783"/>
    <s v="Low"/>
    <n v="3343.1312808704301"/>
  </r>
  <r>
    <s v="TXN000296"/>
    <s v="USR00053"/>
    <s v="NetBanking"/>
    <n v="42037.937635823102"/>
    <d v="2025-09-19T00:00:00"/>
    <s v="23:02:53"/>
    <x v="3"/>
    <s v="Android"/>
    <s v="Regular"/>
    <x v="1"/>
    <s v="MCH5282"/>
    <s v="Travel"/>
    <n v="2543.2586161747799"/>
    <n v="0"/>
    <s v="Failed"/>
    <n v="2"/>
    <s v="Edge"/>
    <s v="IN"/>
    <n v="-6.5948376731871798"/>
    <n v="57.483903785987501"/>
    <s v="Normal"/>
    <n v="2543.2586161747799"/>
  </r>
  <r>
    <s v="TXN000402"/>
    <s v="USR00082"/>
    <s v="N/A"/>
    <n v="17325.088029575702"/>
    <d v="2025-09-21T00:00:00"/>
    <s v="06:21:11"/>
    <x v="8"/>
    <s v="Web"/>
    <s v="Regular"/>
    <x v="0"/>
    <s v="MCH4629"/>
    <s v="Health"/>
    <n v="1967.9589959176899"/>
    <n v="19.973986643047201"/>
    <s v="Pending"/>
    <n v="0"/>
    <s v="Safari"/>
    <s v="UK"/>
    <n v="11.890431642894301"/>
    <n v="93.581562411114604"/>
    <s v="High"/>
    <n v="1947.9850092746401"/>
  </r>
  <r>
    <s v="TXN000005"/>
    <s v="USR00107"/>
    <s v="Card"/>
    <n v="20621.630317609899"/>
    <d v="2025-09-23T00:00:00"/>
    <s v="19:01:38"/>
    <x v="10"/>
    <s v="Ios"/>
    <s v="Regular"/>
    <x v="1"/>
    <s v="MCH8347"/>
    <s v="Utilities"/>
    <n v="4435.2742777122503"/>
    <n v="0"/>
    <s v="Success"/>
    <n v="0"/>
    <s v="Safari"/>
    <s v="IN"/>
    <n v="-28.833224494827199"/>
    <n v="62.231663724855203"/>
    <s v="Normal"/>
    <n v="4435.2742777122503"/>
  </r>
  <r>
    <s v="TXN000065"/>
    <s v="USR00089"/>
    <s v="Wallet"/>
    <n v="39843.9416061265"/>
    <d v="2025-09-23T00:00:00"/>
    <s v="00:23:53"/>
    <x v="3"/>
    <s v="Android"/>
    <s v="Premium "/>
    <x v="1"/>
    <s v="MCH7509"/>
    <s v="Travel"/>
    <n v="2453.95198340467"/>
    <n v="0"/>
    <s v="Success"/>
    <n v="0"/>
    <s v="Chrome"/>
    <s v="IN"/>
    <n v="3.24756980149645"/>
    <n v="52.731967959986001"/>
    <s v="Normal"/>
    <n v="2453.95198340467"/>
  </r>
  <r>
    <s v="TXN000358"/>
    <s v="USR00090"/>
    <s v="UPI"/>
    <n v="3867.6178538140698"/>
    <d v="2025-09-24T00:00:00"/>
    <s v="05:25:03"/>
    <x v="2"/>
    <s v="Ios"/>
    <s v="New"/>
    <x v="0"/>
    <s v="MCH6543"/>
    <s v="Food"/>
    <n v="2246.6681285066102"/>
    <n v="498.83613163233002"/>
    <s v="Success"/>
    <n v="1"/>
    <s v="Chrome"/>
    <s v="IN"/>
    <n v="3.2580423508771501"/>
    <n v="31.410981908937099"/>
    <s v="Low"/>
    <n v="1747.8319968742801"/>
  </r>
  <r>
    <s v="TXN000139"/>
    <s v="USR00063"/>
    <s v="Wallet"/>
    <n v="24031.146877537099"/>
    <d v="2025-09-24T00:00:00"/>
    <s v="03:12:48"/>
    <x v="0"/>
    <s v="Web"/>
    <s v="Regular"/>
    <x v="1"/>
    <s v="MCH3541"/>
    <s v="Food"/>
    <n v="1315.41351428704"/>
    <n v="0"/>
    <s v="Failed"/>
    <n v="2"/>
    <s v="Edge"/>
    <s v="US"/>
    <n v="-0.55833924438096005"/>
    <n v="34.021623845533497"/>
    <s v="Low"/>
    <n v="1315.41351428704"/>
  </r>
  <r>
    <s v="TXN000484"/>
    <s v="USR00161"/>
    <s v="NetBanking"/>
    <n v="15798.3681847896"/>
    <d v="2025-09-25T00:00:00"/>
    <s v="19:48:24"/>
    <x v="9"/>
    <s v="Ios"/>
    <s v="Premium"/>
    <x v="0"/>
    <s v="MCH5306"/>
    <s v="Food"/>
    <n v="3573.3008277051999"/>
    <n v="0"/>
    <s v="Failed"/>
    <n v="2"/>
    <s v="Edge"/>
    <s v="UK"/>
    <n v="4.3609689514013699"/>
    <n v="11.2796918866577"/>
    <s v="Low"/>
    <n v="3573.3008277051999"/>
  </r>
  <r>
    <s v="TXN000192"/>
    <s v="USR00179"/>
    <s v="Card"/>
    <n v="22767.9718137331"/>
    <d v="2025-09-26T00:00:00"/>
    <s v="08:05:24"/>
    <x v="4"/>
    <s v="Android"/>
    <s v="Regular"/>
    <x v="0"/>
    <s v="MCH2620"/>
    <s v="Travel"/>
    <n v="584.74333958331704"/>
    <n v="0"/>
    <s v="Failed"/>
    <n v="2"/>
    <s v="Unknown"/>
    <s v="IN"/>
    <n v="25.498616894102099"/>
    <n v="55.947525945634602"/>
    <s v="Normal"/>
    <n v="584.74333958331704"/>
  </r>
  <r>
    <s v="TXN000050"/>
    <s v="USR00051"/>
    <s v="UPI"/>
    <n v="40271.728909216203"/>
    <d v="2025-09-26T00:00:00"/>
    <s v="07:24:45"/>
    <x v="0"/>
    <s v="Ios"/>
    <s v="Regular"/>
    <x v="1"/>
    <s v="MCH5500"/>
    <s v="Travel"/>
    <n v="4069.7841744929601"/>
    <n v="0"/>
    <s v="Failed"/>
    <n v="0"/>
    <s v="Safari"/>
    <s v="UK"/>
    <n v="-10.3864042166636"/>
    <n v="5.0596853676581697"/>
    <s v="Low"/>
    <n v="4069.7841744929601"/>
  </r>
  <r>
    <s v="TXN000132"/>
    <s v="USR00071"/>
    <s v="Card"/>
    <n v="4551.2960027316003"/>
    <d v="2025-09-26T00:00:00"/>
    <s v="13:18:03"/>
    <x v="5"/>
    <s v="Web"/>
    <s v="New"/>
    <x v="0"/>
    <s v="MCH5266"/>
    <s v="Travel"/>
    <n v="704.825340872639"/>
    <n v="346.46011461239402"/>
    <s v="Success"/>
    <n v="1"/>
    <s v="Safari"/>
    <s v="US"/>
    <n v="-14.094649874877801"/>
    <n v="26.4649504998761"/>
    <s v="Low"/>
    <n v="358.36522626024498"/>
  </r>
  <r>
    <s v="TXN000258"/>
    <s v="USR00172"/>
    <s v="UPI"/>
    <n v="5235.5099341328396"/>
    <d v="2025-09-27T00:00:00"/>
    <s v="06:50:27"/>
    <x v="10"/>
    <s v="Web"/>
    <s v="Premium "/>
    <x v="1"/>
    <s v="MCH5926"/>
    <s v="Retail"/>
    <n v="738.06091573543495"/>
    <n v="0"/>
    <s v="Failed"/>
    <n v="3"/>
    <s v="Edge"/>
    <s v="UK"/>
    <n v="18.804413613880801"/>
    <n v="85.474061859197903"/>
    <s v="High"/>
    <n v="738.06091573543495"/>
  </r>
  <r>
    <s v="TXN000011"/>
    <s v="USR00211"/>
    <s v="UPI"/>
    <n v="19710.173504045099"/>
    <d v="2025-09-27T00:00:00"/>
    <s v="10:09:02"/>
    <x v="0"/>
    <s v="Android"/>
    <s v="New"/>
    <x v="1"/>
    <s v="MCH5287"/>
    <s v="Utilities"/>
    <n v="3210.51948475572"/>
    <n v="0"/>
    <s v="Failed"/>
    <n v="0"/>
    <s v="Edge"/>
    <s v="IN"/>
    <n v="22.465020220000699"/>
    <n v="48.810444710137801"/>
    <s v="Normal"/>
    <n v="3210.51948475572"/>
  </r>
  <r>
    <s v="TXN000278"/>
    <s v="USR00101"/>
    <s v="UPI"/>
    <n v="14467.6878621387"/>
    <d v="2025-09-28T00:00:00"/>
    <s v="17:21:51"/>
    <x v="0"/>
    <s v="Android"/>
    <s v="New"/>
    <x v="1"/>
    <s v="MCH2311"/>
    <s v="Utilities"/>
    <n v="4157.6152603505598"/>
    <n v="0"/>
    <s v="Failed"/>
    <n v="3"/>
    <s v="Chrome"/>
    <s v="UK"/>
    <n v="-22.308893382054102"/>
    <n v="84.245698611841405"/>
    <s v="High"/>
    <n v="4157.6152603505598"/>
  </r>
  <r>
    <s v="TXN000308"/>
    <s v="USR00145"/>
    <s v="UPI"/>
    <n v="37238.057626980102"/>
    <d v="2025-09-28T00:00:00"/>
    <s v="12:08:51"/>
    <x v="5"/>
    <s v="Ios"/>
    <s v="Premium"/>
    <x v="1"/>
    <s v="MCH1926"/>
    <s v="Health"/>
    <n v="4138.4075496039904"/>
    <n v="0"/>
    <s v="Failed"/>
    <n v="0"/>
    <s v="N/A"/>
    <s v="UK"/>
    <n v="-14.218449855433001"/>
    <n v="87.126468527015703"/>
    <s v="High"/>
    <n v="4138.4075496039904"/>
  </r>
  <r>
    <s v="TXN000062"/>
    <s v="USR00167"/>
    <s v="Card"/>
    <n v="14968.176631943301"/>
    <d v="2025-09-29T00:00:00"/>
    <s v="05:33:17"/>
    <x v="7"/>
    <s v="Android"/>
    <s v="New"/>
    <x v="1"/>
    <s v="MCH1589"/>
    <s v="Travel"/>
    <n v="4071.3340847214499"/>
    <n v="0"/>
    <s v="Failed"/>
    <n v="0"/>
    <s v="N/A"/>
    <s v="US"/>
    <n v="-19.6590471513022"/>
    <n v="11.267352663479"/>
    <s v="Low"/>
    <n v="4071.3340847214499"/>
  </r>
  <r>
    <s v="TXN000331"/>
    <s v="USR00090"/>
    <s v="Wallet"/>
    <n v="25807.166752100002"/>
    <d v="2025-09-30T00:00:00"/>
    <s v="18:48:45"/>
    <x v="3"/>
    <s v="Android"/>
    <s v="Premium"/>
    <x v="0"/>
    <s v="MCH1011"/>
    <s v="Health"/>
    <n v="2388.95144195695"/>
    <n v="0"/>
    <s v="Success"/>
    <n v="2"/>
    <s v="Safari"/>
    <s v="IN"/>
    <n v="-28.897140613485501"/>
    <n v="39.910935057472898"/>
    <s v="Low"/>
    <n v="2388.95144195695"/>
  </r>
  <r>
    <s v="TXN000023"/>
    <s v="USR00002"/>
    <s v="NetBanking"/>
    <n v="29298.961663040998"/>
    <d v="2025-09-30T00:00:00"/>
    <s v="14:14:05"/>
    <x v="9"/>
    <s v="Ios"/>
    <s v="Premium"/>
    <x v="1"/>
    <s v="MCH6898"/>
    <s v="Health"/>
    <n v="2585.4628030014101"/>
    <n v="106.771427245171"/>
    <s v="Success"/>
    <n v="3"/>
    <s v="Firefox"/>
    <s v="IN"/>
    <n v="29.675651233316401"/>
    <n v="44.435219609749502"/>
    <s v="Low"/>
    <n v="2478.6913757562402"/>
  </r>
  <r>
    <s v="TXN000052"/>
    <s v="USR00055"/>
    <s v="Wallet"/>
    <n v="30901.459233654899"/>
    <d v="2025-10-01T00:00:00"/>
    <s v="18:30:15"/>
    <x v="8"/>
    <s v="Ios"/>
    <s v="Premium "/>
    <x v="1"/>
    <s v="MCH5117"/>
    <s v="Utilities"/>
    <n v="3985.5371871503498"/>
    <n v="0"/>
    <s v="Success"/>
    <n v="3"/>
    <s v="N/A"/>
    <s v="UK"/>
    <n v="12.060676025702399"/>
    <n v="96.163125662530703"/>
    <s v="High"/>
    <n v="3985.5371871503498"/>
  </r>
  <r>
    <s v="TXN000307"/>
    <s v="USR00123"/>
    <s v="NetBanking"/>
    <n v="19027.354349438901"/>
    <d v="2025-10-01T00:00:00"/>
    <s v="01:40:47"/>
    <x v="1"/>
    <s v="Android"/>
    <s v="Premium "/>
    <x v="1"/>
    <s v="MCH1244"/>
    <s v="Food"/>
    <n v="3741.3024477137001"/>
    <n v="324.778003378481"/>
    <s v="Success"/>
    <n v="1"/>
    <s v="Chrome"/>
    <s v="US"/>
    <n v="-12.099735384750099"/>
    <n v="61.086008351685003"/>
    <s v="Normal"/>
    <n v="3416.5244443352199"/>
  </r>
  <r>
    <s v="TXN000347"/>
    <s v="USR00220"/>
    <s v="Card"/>
    <n v="41844.584183287399"/>
    <d v="2025-10-01T00:00:00"/>
    <s v="15:04:56"/>
    <x v="0"/>
    <s v="Android"/>
    <s v="New"/>
    <x v="1"/>
    <s v="MCH9745"/>
    <s v="Utilities"/>
    <n v="1196.4151725813001"/>
    <n v="137.54944077956199"/>
    <s v="Pending"/>
    <n v="3"/>
    <s v="Safari"/>
    <s v="UK"/>
    <n v="-11.709709844623999"/>
    <n v="67.972579600175806"/>
    <s v="Normal"/>
    <n v="1058.8657318017399"/>
  </r>
  <r>
    <s v="TXN000346"/>
    <s v="USR00011"/>
    <s v="Wallet"/>
    <n v="18948.524777264502"/>
    <d v="2025-10-04T00:00:00"/>
    <s v="06:08:25"/>
    <x v="4"/>
    <s v="Ios"/>
    <s v="Regular"/>
    <x v="1"/>
    <s v="MCH2384"/>
    <s v="Utilities"/>
    <n v="2742.66690086059"/>
    <n v="367.96020318697401"/>
    <s v="Success"/>
    <n v="0"/>
    <s v="Safari"/>
    <s v="IN"/>
    <n v="0.96808828046986795"/>
    <n v="43.221318758502299"/>
    <s v="Low"/>
    <n v="2374.7066976736201"/>
  </r>
  <r>
    <s v="TXN000244"/>
    <s v="USR00116"/>
    <s v="UPI"/>
    <n v="8419.8649236698202"/>
    <d v="2025-10-05T00:00:00"/>
    <s v="07:58:21"/>
    <x v="5"/>
    <s v="Android"/>
    <s v="Premium"/>
    <x v="1"/>
    <s v="MCH4195"/>
    <s v="Travel"/>
    <n v="3386.3867976756401"/>
    <n v="0"/>
    <s v="Failed"/>
    <n v="3"/>
    <s v="Edge"/>
    <s v="US"/>
    <n v="-3.4890579313360401"/>
    <n v="41.521375668433102"/>
    <s v="Low"/>
    <n v="3386.3867976756401"/>
  </r>
  <r>
    <s v="TXN000305"/>
    <s v="USR00203"/>
    <s v="Card"/>
    <n v="11447.041481767899"/>
    <d v="2025-10-07T00:00:00"/>
    <s v="09:20:45"/>
    <x v="5"/>
    <s v="Ios"/>
    <s v="Regular"/>
    <x v="0"/>
    <s v="MCH9207"/>
    <s v="Food"/>
    <n v="2278.8982949660499"/>
    <n v="0"/>
    <s v="Pending"/>
    <n v="0"/>
    <s v="Unknown"/>
    <s v="US"/>
    <n v="0"/>
    <n v="74.915782317653196"/>
    <s v="Normal"/>
    <n v="2278.8982949660499"/>
  </r>
  <r>
    <s v="TXN000304"/>
    <s v="USR00183"/>
    <s v="Wallet"/>
    <n v="15641.0687758775"/>
    <d v="2025-10-08T00:00:00"/>
    <s v="09:33:42"/>
    <x v="7"/>
    <s v="Web"/>
    <s v="Regular"/>
    <x v="1"/>
    <s v="MCH1143"/>
    <s v="Retail"/>
    <n v="3184.6528479665799"/>
    <n v="53.355909551177099"/>
    <s v="Failed"/>
    <n v="1"/>
    <s v="Unknown"/>
    <s v="IN"/>
    <n v="1.14978237447243"/>
    <n v="77.648688131566701"/>
    <s v="Normal"/>
    <n v="3131.2969384153998"/>
  </r>
  <r>
    <s v="TXN000008"/>
    <s v="USR00021"/>
    <s v="UPI"/>
    <n v="49265.773928208699"/>
    <d v="2025-10-09T00:00:00"/>
    <s v="04:00:39"/>
    <x v="4"/>
    <s v="Android"/>
    <s v="Premium "/>
    <x v="0"/>
    <s v="MCH7646"/>
    <s v="Food"/>
    <n v="3692.7938700823402"/>
    <n v="0"/>
    <s v="Success"/>
    <n v="4"/>
    <s v="Safari"/>
    <s v="IN"/>
    <n v="18.336497328858901"/>
    <n v="41.2096568708115"/>
    <s v="Low"/>
    <n v="3692.7938700823402"/>
  </r>
  <r>
    <s v="TXN000492"/>
    <s v="USR00058"/>
    <s v="UPI"/>
    <n v="37943.781455889497"/>
    <d v="2025-10-09T00:00:00"/>
    <s v="22:56:59"/>
    <x v="5"/>
    <s v="Android"/>
    <s v="Premium "/>
    <x v="1"/>
    <s v="MCH4346"/>
    <s v="Retail"/>
    <n v="2461.6994342634698"/>
    <n v="210.65044081668199"/>
    <s v="Failed"/>
    <n v="3"/>
    <s v="Unknown"/>
    <s v="US"/>
    <n v="4.41767147657447"/>
    <n v="32.777120584121903"/>
    <s v="Low"/>
    <n v="2251.0489934467901"/>
  </r>
  <r>
    <s v="TXN000163"/>
    <s v="USR00062"/>
    <s v="Card"/>
    <n v="1010.29982327522"/>
    <d v="2025-10-11T00:00:00"/>
    <s v="21:17:07"/>
    <x v="3"/>
    <s v="Web"/>
    <s v="Regular"/>
    <x v="0"/>
    <s v="MCH2216"/>
    <s v="Health"/>
    <n v="3320.9527219700099"/>
    <n v="284.13430813438401"/>
    <s v="Failed"/>
    <n v="4"/>
    <s v="Chrome"/>
    <s v="IN"/>
    <n v="3.6950616580144899"/>
    <n v="80.649594610524503"/>
    <s v="High"/>
    <n v="3036.8184138356301"/>
  </r>
  <r>
    <s v="TXN000279"/>
    <s v="USR00113"/>
    <s v="Card"/>
    <n v="30786.018131317502"/>
    <d v="2025-10-12T00:00:00"/>
    <s v="19:20:43"/>
    <x v="8"/>
    <s v="Web"/>
    <s v="Regular"/>
    <x v="1"/>
    <s v="MCH9579"/>
    <s v="Retail"/>
    <n v="3290.89047506729"/>
    <n v="0"/>
    <s v="Pending"/>
    <n v="4"/>
    <s v="Edge"/>
    <s v="US"/>
    <n v="-22.624687200061601"/>
    <n v="22.847157591702398"/>
    <s v="Low"/>
    <n v="3290.89047506729"/>
  </r>
  <r>
    <s v="TXN000274"/>
    <s v="USR00039"/>
    <s v="UPI"/>
    <n v="47957.832248744999"/>
    <d v="2025-10-12T00:00:00"/>
    <s v="01:10:09"/>
    <x v="9"/>
    <s v="Ios"/>
    <s v="New"/>
    <x v="1"/>
    <s v="MCH7382"/>
    <s v="Food"/>
    <n v="2981.4959266906299"/>
    <n v="272.71397510585598"/>
    <s v="Failed"/>
    <n v="0"/>
    <s v="Firefox"/>
    <s v="IN"/>
    <n v="0.54490971398826804"/>
    <n v="23.656792521109999"/>
    <s v="Low"/>
    <n v="2708.78195158477"/>
  </r>
  <r>
    <s v="TXN000261"/>
    <s v="USR00059"/>
    <s v="Card"/>
    <n v="22904.310942155698"/>
    <d v="2025-10-12T00:00:00"/>
    <s v="21:31:07"/>
    <x v="7"/>
    <s v="Web"/>
    <s v="Regular"/>
    <x v="1"/>
    <s v="MCH5319"/>
    <s v="Entertainment"/>
    <n v="1100.81392625953"/>
    <n v="0"/>
    <s v="Success"/>
    <n v="1"/>
    <s v="N/A"/>
    <s v="UK"/>
    <n v="-15.8198045838749"/>
    <n v="43.686003655712703"/>
    <s v="Low"/>
    <n v="1100.81392625953"/>
  </r>
  <r>
    <s v="TXN000438"/>
    <s v="USR00182"/>
    <s v="UPI"/>
    <n v="36636.010465107203"/>
    <d v="2025-10-15T00:00:00"/>
    <s v="08:11:10"/>
    <x v="2"/>
    <s v="Android"/>
    <s v="Regular"/>
    <x v="1"/>
    <s v="MCH5078"/>
    <s v="Travel"/>
    <n v="4284.9780610075704"/>
    <n v="0"/>
    <s v="Success"/>
    <n v="1"/>
    <s v="Chrome"/>
    <s v="IN"/>
    <n v="-16.485605859885201"/>
    <n v="40.4645028440099"/>
    <s v="Low"/>
    <n v="4284.9780610075704"/>
  </r>
  <r>
    <s v="TXN000282"/>
    <s v="USR00187"/>
    <s v="Card"/>
    <n v="5129.6506904927401"/>
    <d v="2025-10-15T00:00:00"/>
    <s v="22:38:48"/>
    <x v="3"/>
    <s v="Android"/>
    <s v="Regular"/>
    <x v="0"/>
    <s v="MCH7781"/>
    <s v="Entertainment"/>
    <n v="635.20093975867599"/>
    <n v="0"/>
    <s v="Failed"/>
    <n v="1"/>
    <s v="Unknown"/>
    <s v="IN"/>
    <n v="16.639950844931601"/>
    <n v="91.278738538652505"/>
    <s v="High"/>
    <n v="635.20093975867599"/>
  </r>
  <r>
    <s v="TXN000004"/>
    <s v="USR00015"/>
    <s v="Wallet"/>
    <n v="1000000"/>
    <d v="2025-10-15T00:00:00"/>
    <s v="13:55:38"/>
    <x v="8"/>
    <s v="Web"/>
    <s v="Premium"/>
    <x v="1"/>
    <s v="MCH5440"/>
    <s v="Entertainment"/>
    <n v="4048.20320890832"/>
    <n v="0"/>
    <s v="Failed"/>
    <n v="0"/>
    <s v="Chrome"/>
    <s v="UK"/>
    <n v="-29.1954327676726"/>
    <n v="95.139637248441602"/>
    <s v="High"/>
    <n v="4048.20320890832"/>
  </r>
  <r>
    <s v="TXN000180"/>
    <s v="USR00218"/>
    <s v="UPI"/>
    <n v="35576.528693953704"/>
    <d v="2025-10-16T00:00:00"/>
    <s v="23:41:29"/>
    <x v="9"/>
    <s v="Ios"/>
    <s v="Premium "/>
    <x v="1"/>
    <s v="MCH3017"/>
    <s v="Food"/>
    <n v="4387.1527674342997"/>
    <n v="444.50030540733297"/>
    <s v="Success"/>
    <n v="4"/>
    <s v="Firefox"/>
    <s v="US"/>
    <n v="-1.19353032286282"/>
    <n v="4.6433655482812304"/>
    <s v="Low"/>
    <n v="3942.6524620269702"/>
  </r>
  <r>
    <s v="TXN000377"/>
    <s v="USR00208"/>
    <s v="Wallet"/>
    <n v="36068.573505894303"/>
    <d v="2025-10-16T00:00:00"/>
    <s v="06:05:14"/>
    <x v="9"/>
    <s v="Ios"/>
    <s v="Regular"/>
    <x v="1"/>
    <s v="MCH8825"/>
    <s v="Entertainment"/>
    <n v="481.19098283409897"/>
    <n v="32.6383787832319"/>
    <s v="Success"/>
    <n v="1"/>
    <s v="Chrome"/>
    <s v="IN"/>
    <n v="27.3383677034053"/>
    <n v="14.510557339645"/>
    <s v="Low"/>
    <n v="448.55260405086699"/>
  </r>
  <r>
    <s v="TXN000356"/>
    <s v="USR00007"/>
    <s v="UPI"/>
    <n v="5238.77581863264"/>
    <d v="2025-10-16T00:00:00"/>
    <s v="19:48:20"/>
    <x v="7"/>
    <s v="Android"/>
    <s v="Premium "/>
    <x v="0"/>
    <s v="MCH6593"/>
    <s v="Retail"/>
    <n v="3587.7435924168799"/>
    <n v="0"/>
    <s v="Success"/>
    <n v="0"/>
    <s v="Safari"/>
    <s v="UK"/>
    <n v="9.1882039975113194"/>
    <n v="3.7552320060045599"/>
    <s v="Low"/>
    <n v="3587.7435924168799"/>
  </r>
  <r>
    <s v="TXN000083"/>
    <s v="USR00206"/>
    <s v="Wallet"/>
    <n v="20641.894596440601"/>
    <d v="2025-10-20T00:00:00"/>
    <s v="05:45:49"/>
    <x v="4"/>
    <s v="Ios"/>
    <s v="Premium"/>
    <x v="1"/>
    <s v="MCH7289"/>
    <s v="Health"/>
    <n v="2254.7771294736399"/>
    <n v="30.452771617591399"/>
    <s v="Failed"/>
    <n v="2"/>
    <s v="Edge"/>
    <s v="IN"/>
    <n v="-11.628244771075099"/>
    <n v="77.9005393924038"/>
    <s v="Normal"/>
    <n v="2224.32435785605"/>
  </r>
  <r>
    <s v="TXN000462"/>
    <s v="USR00221"/>
    <s v="NetBanking"/>
    <n v="24239.3716024274"/>
    <d v="2025-10-20T00:00:00"/>
    <s v="04:43:10"/>
    <x v="10"/>
    <s v="Ios"/>
    <s v="Premium"/>
    <x v="0"/>
    <s v="MCH5085"/>
    <s v="Retail"/>
    <n v="745.70828357793698"/>
    <n v="0"/>
    <s v="Success"/>
    <n v="4"/>
    <s v="Chrome"/>
    <s v="US"/>
    <n v="-4.34965777719803"/>
    <n v="82.164933388007199"/>
    <s v="High"/>
    <n v="745.70828357793698"/>
  </r>
  <r>
    <s v="TXN000075"/>
    <s v="USR00092"/>
    <s v="Wallet"/>
    <n v="17144.004201781601"/>
    <d v="2025-10-20T00:00:00"/>
    <s v="13:08:02"/>
    <x v="4"/>
    <s v="Web"/>
    <s v="Premium"/>
    <x v="0"/>
    <s v="MCH8384"/>
    <s v="Food"/>
    <n v="316.17294272681801"/>
    <n v="179.83778061153399"/>
    <s v="Success"/>
    <n v="1"/>
    <s v="N/A"/>
    <s v="US"/>
    <n v="-1.7002090328903801"/>
    <n v="4.6261917339999998"/>
    <s v="Low"/>
    <n v="136.33516211528399"/>
  </r>
  <r>
    <s v="TXN000032"/>
    <s v="USR00161"/>
    <s v="UPI"/>
    <n v="43923.211307211699"/>
    <d v="2025-10-20T00:00:00"/>
    <s v="17:23:58"/>
    <x v="7"/>
    <s v="Android"/>
    <s v="Premium "/>
    <x v="0"/>
    <s v="MCH9923"/>
    <s v="Travel"/>
    <n v="799.28729775321096"/>
    <n v="183.33943985149099"/>
    <s v="Pending"/>
    <n v="4"/>
    <s v="Edge"/>
    <s v="IN"/>
    <n v="-13.4742057816316"/>
    <n v="73.485052049960103"/>
    <s v="Normal"/>
    <n v="615.94785790172"/>
  </r>
  <r>
    <s v="TXN000479"/>
    <s v="USR00116"/>
    <s v="Wallet"/>
    <n v="3980.49066953996"/>
    <d v="2025-10-22T00:00:00"/>
    <s v="22:58:26"/>
    <x v="3"/>
    <s v="Android"/>
    <s v="New"/>
    <x v="1"/>
    <s v="MCH7770"/>
    <s v="Food"/>
    <n v="4067.28142154016"/>
    <n v="0"/>
    <s v="Success"/>
    <n v="2"/>
    <s v="Unknown"/>
    <s v="US"/>
    <n v="-2.4618169160790702"/>
    <n v="80.579286595823504"/>
    <s v="High"/>
    <n v="4067.28142154016"/>
  </r>
  <r>
    <s v="TXN000086"/>
    <s v="USR00050"/>
    <s v="NetBanking"/>
    <n v="48658.206428578203"/>
    <d v="2025-10-22T00:00:00"/>
    <s v="10:54:15"/>
    <x v="2"/>
    <s v="Web"/>
    <s v="New"/>
    <x v="0"/>
    <s v="MCH5621"/>
    <s v="Retail"/>
    <n v="1216.3331133986601"/>
    <n v="0"/>
    <s v="Success"/>
    <n v="1"/>
    <s v="Edge"/>
    <s v="UK"/>
    <n v="-13.1683306886759"/>
    <n v="56.928138295052399"/>
    <s v="Normal"/>
    <n v="1216.3331133986601"/>
  </r>
  <r>
    <s v="TXN000220"/>
    <s v="USR00185"/>
    <s v="Card"/>
    <n v="9401.6088407283896"/>
    <d v="2025-10-22T00:00:00"/>
    <s v="22:01:26"/>
    <x v="9"/>
    <s v="Ios"/>
    <s v="Regular"/>
    <x v="1"/>
    <s v="MCH3330"/>
    <s v="Food"/>
    <n v="4772.5092121365196"/>
    <n v="66.642129041086605"/>
    <s v="Failed"/>
    <n v="0"/>
    <s v="Edge"/>
    <s v="UK"/>
    <n v="25.660472489971198"/>
    <n v="85.243041756911893"/>
    <s v="High"/>
    <n v="4705.8670830954297"/>
  </r>
  <r>
    <s v="TXN000418"/>
    <s v="USR00128"/>
    <s v="NetBanking"/>
    <n v="20187.247175489301"/>
    <d v="2025-10-24T00:00:00"/>
    <s v="06:51:22"/>
    <x v="4"/>
    <s v="Web"/>
    <s v="New"/>
    <x v="0"/>
    <s v="MCH1864"/>
    <s v="Retail"/>
    <n v="4037.7309829126798"/>
    <n v="320.54305179108002"/>
    <s v="Pending"/>
    <n v="4"/>
    <s v="Unknown"/>
    <s v="US"/>
    <n v="-15.022517735365"/>
    <n v="48.281009332837002"/>
    <s v="Normal"/>
    <n v="3717.1879311215998"/>
  </r>
  <r>
    <s v="TXN000497"/>
    <s v="USR00114"/>
    <s v="UPI"/>
    <n v="49030.782328981397"/>
    <d v="2025-10-25T00:00:00"/>
    <s v="00:55:51"/>
    <x v="3"/>
    <s v="Ios"/>
    <s v="Premium "/>
    <x v="0"/>
    <s v="MCH9105"/>
    <s v="Food"/>
    <n v="725.03312096445097"/>
    <n v="0"/>
    <s v="Success"/>
    <n v="0"/>
    <s v="Firefox"/>
    <s v="UK"/>
    <n v="-12.439713254434499"/>
    <n v="93.805385355393"/>
    <s v="High"/>
    <n v="725.03312096445097"/>
  </r>
  <r>
    <s v="TXN000440"/>
    <s v="USR00027"/>
    <s v="Card"/>
    <n v="31691.593361536601"/>
    <d v="2025-10-27T00:00:00"/>
    <s v="00:44:54"/>
    <x v="9"/>
    <s v="Android"/>
    <s v="Regular"/>
    <x v="0"/>
    <s v="MCH5042"/>
    <s v="Travel"/>
    <n v="1581.5933346086999"/>
    <n v="341.25586505810003"/>
    <s v="Failed"/>
    <n v="4"/>
    <s v="Firefox"/>
    <s v="IN"/>
    <n v="-14.7830623416862"/>
    <n v="82.107836199824106"/>
    <s v="High"/>
    <n v="1240.3374695506"/>
  </r>
  <r>
    <s v="TXN000354"/>
    <s v="USR00042"/>
    <s v="Card"/>
    <n v="24900.896246180298"/>
    <d v="2025-10-28T00:00:00"/>
    <s v="13:25:50"/>
    <x v="7"/>
    <s v="Web"/>
    <s v="Premium"/>
    <x v="0"/>
    <s v="MCH7897"/>
    <s v="Entertainment"/>
    <n v="2873.5269824480301"/>
    <n v="0"/>
    <s v="Failed"/>
    <n v="0"/>
    <s v="Edge"/>
    <s v="US"/>
    <n v="-3.3686405315658399"/>
    <n v="43.624444836431699"/>
    <s v="Low"/>
    <n v="2873.5269824480301"/>
  </r>
  <r>
    <s v="TXN000167"/>
    <s v="USR00172"/>
    <s v="Card"/>
    <n v="28842.321048502399"/>
    <d v="2025-10-28T00:00:00"/>
    <s v="13:35:32"/>
    <x v="1"/>
    <s v="Android"/>
    <s v="Premium"/>
    <x v="0"/>
    <s v="MCH9970"/>
    <s v="Health"/>
    <n v="1335.0362543569699"/>
    <n v="0"/>
    <s v="Pending"/>
    <n v="3"/>
    <s v="Firefox"/>
    <s v="IN"/>
    <n v="23.256499769637301"/>
    <n v="34.156963294427499"/>
    <s v="Low"/>
    <n v="1335.0362543569699"/>
  </r>
  <r>
    <s v="TXN000426"/>
    <s v="USR00204"/>
    <s v="Card"/>
    <n v="41146.935407992503"/>
    <d v="2025-10-28T00:00:00"/>
    <s v="15:45:39"/>
    <x v="10"/>
    <s v="Web"/>
    <s v="Premium"/>
    <x v="0"/>
    <s v="MCH1935"/>
    <s v="Health"/>
    <n v="2172.3832410176801"/>
    <n v="0"/>
    <s v="Success"/>
    <n v="4"/>
    <s v="Edge"/>
    <s v="UK"/>
    <n v="-19.784450872473801"/>
    <n v="60.858315463990799"/>
    <s v="Normal"/>
    <n v="2172.3832410176801"/>
  </r>
  <r>
    <s v="TXN000029"/>
    <s v="USR00192"/>
    <s v="NetBanking"/>
    <n v="12646.977731638701"/>
    <d v="2025-10-28T00:00:00"/>
    <s v="04:32:48"/>
    <x v="4"/>
    <s v="Web"/>
    <s v="Premium"/>
    <x v="1"/>
    <s v="MCH1890"/>
    <s v="Retail"/>
    <n v="1960.4005791377899"/>
    <n v="108.726466108618"/>
    <s v="Failed"/>
    <n v="1"/>
    <s v="Chrome"/>
    <s v="IN"/>
    <n v="-10.793391539645899"/>
    <n v="81.043658561562495"/>
    <s v="High"/>
    <n v="1851.67411302917"/>
  </r>
  <r>
    <s v="TXN000088"/>
    <s v="USR00132"/>
    <s v="UPI"/>
    <n v="11270.0683887254"/>
    <d v="2025-10-29T00:00:00"/>
    <s v="14:24:35"/>
    <x v="5"/>
    <s v="Android"/>
    <s v="Premium "/>
    <x v="0"/>
    <s v="MCH5670"/>
    <s v="Utilities"/>
    <n v="4362.6955556233297"/>
    <n v="4.9137762848939204"/>
    <s v="Success"/>
    <n v="0"/>
    <s v="Chrome"/>
    <s v="IN"/>
    <n v="5.0591839057625396"/>
    <n v="80.793803001428302"/>
    <s v="High"/>
    <n v="4357.7817793384402"/>
  </r>
  <r>
    <s v="TXN000056"/>
    <s v="USR00131"/>
    <s v="Card"/>
    <n v="27785.298866257101"/>
    <d v="2025-10-29T00:00:00"/>
    <s v="08:32:40"/>
    <x v="10"/>
    <s v="Web"/>
    <s v="New"/>
    <x v="1"/>
    <s v="MCH4758"/>
    <s v="N/A"/>
    <n v="3305.69492901597"/>
    <n v="0"/>
    <s v="Failed"/>
    <n v="2"/>
    <s v="Edge"/>
    <s v="US"/>
    <n v="17.0567888972741"/>
    <n v="72.951692857312196"/>
    <s v="Normal"/>
    <n v="3305.69492901597"/>
  </r>
  <r>
    <s v="TXN000293"/>
    <s v="USR00147"/>
    <s v="UPI"/>
    <n v="3539.1848144242199"/>
    <d v="2025-10-30T00:00:00"/>
    <s v="18:22:23"/>
    <x v="5"/>
    <s v="Android"/>
    <s v="New"/>
    <x v="0"/>
    <s v="MCH3462"/>
    <s v="Utilities"/>
    <n v="4271.9856000801801"/>
    <n v="81.677224871578204"/>
    <s v="Failed"/>
    <n v="2"/>
    <s v="Safari"/>
    <s v="UK"/>
    <n v="-15.9480564127146"/>
    <n v="40.938913118341802"/>
    <s v="Low"/>
    <n v="4190.3083752086004"/>
  </r>
  <r>
    <s v="TXN000190"/>
    <s v="USR00124"/>
    <s v="UPI"/>
    <n v="29734.766568139199"/>
    <d v="2025-10-31T00:00:00"/>
    <s v="15:53:45"/>
    <x v="10"/>
    <s v="Web"/>
    <s v="Premium "/>
    <x v="0"/>
    <s v="MCH8905"/>
    <s v="Travel"/>
    <n v="3759.4261327845702"/>
    <n v="0"/>
    <s v="Success"/>
    <n v="3"/>
    <s v="Chrome"/>
    <s v="US"/>
    <n v="28.928111066168999"/>
    <n v="96.138247014371501"/>
    <s v="High"/>
    <n v="3759.4261327845702"/>
  </r>
  <r>
    <s v="TXN000079"/>
    <s v="USR00172"/>
    <s v="NetBanking"/>
    <n v="20074.994396622998"/>
    <d v="2025-11-01T00:00:00"/>
    <s v="11:04:33"/>
    <x v="3"/>
    <s v="Ios"/>
    <s v="Regular"/>
    <x v="1"/>
    <s v="MCH1985"/>
    <s v="Food"/>
    <n v="1564.93347283242"/>
    <n v="0"/>
    <s v="Failed"/>
    <n v="0"/>
    <s v="Firefox"/>
    <s v="IN"/>
    <n v="7.5658861192228004"/>
    <n v="64.019386853703196"/>
    <s v="Normal"/>
    <n v="1564.93347283242"/>
  </r>
  <r>
    <s v="TXN000391"/>
    <s v="USR00104"/>
    <s v="Card"/>
    <n v="6226.5667941691499"/>
    <d v="2025-11-01T00:00:00"/>
    <s v="06:21:54"/>
    <x v="1"/>
    <s v="Web"/>
    <s v="Premium"/>
    <x v="1"/>
    <s v="MCH9671"/>
    <s v="Retail"/>
    <n v="4173.0400919773701"/>
    <n v="0"/>
    <s v="Pending"/>
    <n v="4"/>
    <s v="N/A"/>
    <s v="IN"/>
    <n v="27.642885100189002"/>
    <n v="99.974127225809298"/>
    <s v="High"/>
    <n v="4173.0400919773701"/>
  </r>
  <r>
    <s v="TXN000457"/>
    <s v="USR00049"/>
    <s v="Card"/>
    <n v="30559.192883697098"/>
    <d v="2025-11-01T00:00:00"/>
    <s v="20:34:51"/>
    <x v="8"/>
    <s v="Web"/>
    <s v="New"/>
    <x v="1"/>
    <s v="MCH8531"/>
    <s v="Retail"/>
    <n v="1406.89580090504"/>
    <n v="0"/>
    <s v="Pending"/>
    <n v="0"/>
    <s v="N/A"/>
    <s v="IN"/>
    <n v="25.8654174304809"/>
    <n v="45.442231915954103"/>
    <s v="Normal"/>
    <n v="1406.89580090504"/>
  </r>
  <r>
    <s v="TXN000257"/>
    <s v="USR00234"/>
    <s v="Wallet"/>
    <n v="37756.301063819803"/>
    <d v="2025-11-02T00:00:00"/>
    <s v="19:14:18"/>
    <x v="5"/>
    <s v="Web"/>
    <s v="New"/>
    <x v="1"/>
    <s v="MCH5933"/>
    <s v="Food"/>
    <n v="3702.5080550852699"/>
    <n v="0"/>
    <s v="Pending"/>
    <n v="1"/>
    <s v="Safari"/>
    <s v="UK"/>
    <n v="-17.529376714821101"/>
    <n v="55.673230775921802"/>
    <s v="Normal"/>
    <n v="3702.5080550852699"/>
  </r>
  <r>
    <s v="TXN000439"/>
    <s v="USR00008"/>
    <s v="UPI"/>
    <n v="12611.4599620237"/>
    <d v="2025-11-03T00:00:00"/>
    <s v="13:54:15"/>
    <x v="2"/>
    <s v="Android"/>
    <s v="Regular"/>
    <x v="1"/>
    <s v="MCH2367"/>
    <s v="Retail"/>
    <n v="2120.5409999127601"/>
    <n v="0"/>
    <s v="Success"/>
    <n v="4"/>
    <s v="Edge"/>
    <s v="UK"/>
    <n v="10.8876069255163"/>
    <n v="6.24475311975075"/>
    <s v="Low"/>
    <n v="2120.5409999127601"/>
  </r>
  <r>
    <s v="TXN000315"/>
    <s v="USR00214"/>
    <s v="UPI"/>
    <n v="46155.715566744402"/>
    <d v="2025-11-05T00:00:00"/>
    <s v="05:55:18"/>
    <x v="3"/>
    <s v="Android"/>
    <s v="Regular"/>
    <x v="0"/>
    <s v="MCH9497"/>
    <s v="Health"/>
    <n v="3114.8818190031402"/>
    <n v="0"/>
    <s v="Failed"/>
    <n v="3"/>
    <s v="Firefox"/>
    <s v="US"/>
    <n v="16.676671648219301"/>
    <n v="9.3821872395443204"/>
    <s v="Low"/>
    <n v="3114.8818190031402"/>
  </r>
  <r>
    <s v="TXN000436"/>
    <s v="USR00109"/>
    <s v="Card"/>
    <n v="13257.8217514674"/>
    <d v="2025-11-05T00:00:00"/>
    <s v="03:29:05"/>
    <x v="1"/>
    <s v="Web"/>
    <s v="Premium"/>
    <x v="0"/>
    <s v="MCH9832"/>
    <s v="Travel"/>
    <n v="2487.19340242215"/>
    <n v="0"/>
    <s v="Pending"/>
    <n v="0"/>
    <s v="N/A"/>
    <s v="US"/>
    <n v="-13.4256635026114"/>
    <n v="99.105650873908701"/>
    <s v="High"/>
    <n v="2487.19340242215"/>
  </r>
  <r>
    <s v="TXN000367"/>
    <s v="USR00140"/>
    <s v="UPI"/>
    <n v="20458.426318705799"/>
    <d v="2025-11-06T00:00:00"/>
    <s v="21:27:06"/>
    <x v="0"/>
    <s v="Android"/>
    <s v="Regular"/>
    <x v="0"/>
    <s v="MCH5155"/>
    <s v="Health"/>
    <n v="618.786399641456"/>
    <n v="348.34449393659798"/>
    <s v="Failed"/>
    <n v="2"/>
    <s v="Safari"/>
    <s v="IN"/>
    <n v="19.053919772675801"/>
    <n v="3.7352936435554902"/>
    <s v="Low"/>
    <n v="270.44190570485802"/>
  </r>
  <r>
    <s v="TXN000103"/>
    <s v="USR00228"/>
    <s v="Card"/>
    <n v="25631.684976008299"/>
    <d v="2025-11-06T00:00:00"/>
    <s v="09:55:35"/>
    <x v="1"/>
    <s v="Ios"/>
    <s v="Premium"/>
    <x v="0"/>
    <s v="MCH8331"/>
    <s v="Entertainment"/>
    <n v="1012.9484141839999"/>
    <n v="152.047317985642"/>
    <s v="Failed"/>
    <n v="0"/>
    <s v="Unknown"/>
    <s v="UK"/>
    <n v="24.297712810194799"/>
    <n v="76.487883008846893"/>
    <s v="Normal"/>
    <n v="860.901096198358"/>
  </r>
  <r>
    <s v="TXN000044"/>
    <s v="USR00208"/>
    <s v="Card"/>
    <n v="39611.7101895347"/>
    <d v="2025-11-07T00:00:00"/>
    <s v="21:46:33"/>
    <x v="0"/>
    <s v="Web"/>
    <s v="Regular"/>
    <x v="1"/>
    <s v="MCH9469"/>
    <s v="Entertainment"/>
    <n v="1600.66905907402"/>
    <n v="400.06879137603801"/>
    <s v="Success"/>
    <n v="3"/>
    <s v="Firefox"/>
    <s v="US"/>
    <n v="-17.277309037021499"/>
    <n v="29.582271858186299"/>
    <s v="Low"/>
    <n v="1200.6002676979799"/>
  </r>
  <r>
    <s v="TXN000446"/>
    <s v="USR00028"/>
    <s v="Card"/>
    <n v="21159.599371579301"/>
    <d v="2025-11-08T00:00:00"/>
    <s v="19:33:25"/>
    <x v="8"/>
    <s v="Ios"/>
    <s v="Regular"/>
    <x v="0"/>
    <s v="MCH4966"/>
    <s v="Travel"/>
    <n v="4218.4289692933799"/>
    <n v="0"/>
    <s v="Success"/>
    <n v="4"/>
    <s v="Chrome"/>
    <s v="IN"/>
    <n v="27.696121534492701"/>
    <n v="39.882152692405697"/>
    <s v="Low"/>
    <n v="4218.4289692933799"/>
  </r>
  <r>
    <s v="TXN000108"/>
    <s v="USR00200"/>
    <s v="UPI"/>
    <n v="4317.3986832660303"/>
    <d v="2025-11-09T00:00:00"/>
    <s v="12:54:21"/>
    <x v="3"/>
    <s v="Android"/>
    <s v="Premium"/>
    <x v="1"/>
    <s v="MCH9378"/>
    <s v="Food"/>
    <n v="2910.2484589816099"/>
    <n v="0"/>
    <s v="Pending"/>
    <n v="0"/>
    <s v="Firefox"/>
    <s v="IN"/>
    <n v="-23.943139101837598"/>
    <n v="51.260505302158798"/>
    <s v="Normal"/>
    <n v="2910.2484589816099"/>
  </r>
  <r>
    <s v="TXN000206"/>
    <s v="USR00171"/>
    <s v="UPI"/>
    <n v="37324.128824881001"/>
    <d v="2025-11-10T00:00:00"/>
    <s v="23:14:08"/>
    <x v="4"/>
    <s v="Ios"/>
    <s v="Premium"/>
    <x v="0"/>
    <s v="MCH2012"/>
    <s v="Retail"/>
    <n v="2698.0850333767498"/>
    <n v="0"/>
    <s v="Failed"/>
    <n v="4"/>
    <s v="Chrome"/>
    <s v="UK"/>
    <n v="-21.152843971505899"/>
    <n v="29.854792598216399"/>
    <s v="Low"/>
    <n v="2698.0850333767498"/>
  </r>
  <r>
    <s v="TXN000414"/>
    <s v="USR00021"/>
    <s v="Card"/>
    <n v="24290.440520802302"/>
    <d v="2025-11-10T00:00:00"/>
    <s v="16:01:24"/>
    <x v="1"/>
    <s v="Ios"/>
    <s v="Premium "/>
    <x v="1"/>
    <s v="MCH7911"/>
    <s v="Entertainment"/>
    <n v="575.32164818042804"/>
    <n v="464.27776644706802"/>
    <s v="Success"/>
    <n v="4"/>
    <s v="Safari"/>
    <s v="UK"/>
    <n v="-26.747295347640399"/>
    <n v="61.549095966671899"/>
    <s v="Normal"/>
    <n v="111.04388173336"/>
  </r>
  <r>
    <s v="TXN000018"/>
    <s v="USR00104"/>
    <s v="Wallet"/>
    <n v="3860.4171115878698"/>
    <d v="2025-11-11T00:00:00"/>
    <s v="19:27:56"/>
    <x v="0"/>
    <s v="Web"/>
    <s v="New"/>
    <x v="0"/>
    <s v="MCH4932"/>
    <s v="Retail"/>
    <n v="1086.80605907208"/>
    <n v="0"/>
    <s v="Success"/>
    <n v="4"/>
    <s v="Chrome"/>
    <s v="UK"/>
    <n v="-28.023127905268201"/>
    <n v="48.922990020461299"/>
    <s v="Normal"/>
    <n v="1086.80605907208"/>
  </r>
  <r>
    <s v="TXN000325"/>
    <s v="USR00093"/>
    <s v="Card"/>
    <n v="1790.5700963050899"/>
    <d v="2025-11-12T00:00:00"/>
    <s v="22:06:03"/>
    <x v="3"/>
    <s v="Android"/>
    <s v="Regular"/>
    <x v="1"/>
    <s v="MCH6505"/>
    <s v="Retail"/>
    <n v="2953.2333161353699"/>
    <n v="67.830733580188905"/>
    <s v="Success"/>
    <n v="4"/>
    <s v="Edge"/>
    <s v="IN"/>
    <n v="0"/>
    <n v="27.523610593112199"/>
    <s v="Low"/>
    <n v="2885.4025825551798"/>
  </r>
  <r>
    <s v="TXN000161"/>
    <s v="USR00247"/>
    <s v="NetBanking"/>
    <n v="42131.470361379303"/>
    <d v="2025-11-12T00:00:00"/>
    <s v="11:00:56"/>
    <x v="4"/>
    <s v="Android"/>
    <s v="New"/>
    <x v="1"/>
    <s v="MCH1725"/>
    <s v="Entertainment"/>
    <n v="278.01216522578801"/>
    <n v="0"/>
    <s v="Success"/>
    <n v="4"/>
    <s v="Unknown"/>
    <s v="US"/>
    <n v="4.1685908797806404"/>
    <n v="70.753543774544397"/>
    <s v="Normal"/>
    <n v="278.01216522578801"/>
  </r>
  <r>
    <s v="TXN000393"/>
    <s v="USR00227"/>
    <s v="Card"/>
    <n v="32181.9856243512"/>
    <d v="2025-11-13T00:00:00"/>
    <s v="01:27:57"/>
    <x v="8"/>
    <s v="Android"/>
    <s v="Premium"/>
    <x v="1"/>
    <s v="MCH5218"/>
    <s v="Entertainment"/>
    <n v="3966.8572478585802"/>
    <n v="0"/>
    <s v="Pending"/>
    <n v="1"/>
    <s v="Safari"/>
    <s v="IN"/>
    <n v="29.777808254713499"/>
    <n v="76.330761521221106"/>
    <s v="Normal"/>
    <n v="3966.8572478585802"/>
  </r>
  <r>
    <s v="TXN000058"/>
    <s v="USR00051"/>
    <s v="Card"/>
    <n v="36347.211929246398"/>
    <d v="2025-11-14T00:00:00"/>
    <s v="20:12:30"/>
    <x v="4"/>
    <s v="Web"/>
    <s v="Regular"/>
    <x v="1"/>
    <s v="MCH5624"/>
    <s v="Entertainment"/>
    <n v="176.57050549418699"/>
    <n v="252.96290007319701"/>
    <s v="Failed"/>
    <n v="1"/>
    <s v="Safari"/>
    <s v="US"/>
    <n v="-25.0540036788605"/>
    <n v="68.105011173044502"/>
    <s v="Normal"/>
    <n v="0"/>
  </r>
  <r>
    <s v="TXN000169"/>
    <s v="USR00214"/>
    <s v="Card"/>
    <n v="364.47031924050998"/>
    <d v="2025-11-14T00:00:00"/>
    <s v="01:40:20"/>
    <x v="5"/>
    <s v="Ios"/>
    <s v="Premium "/>
    <x v="0"/>
    <s v="MCH6634"/>
    <s v="Utilities"/>
    <n v="1913.2540644774299"/>
    <n v="0"/>
    <s v="Failed"/>
    <n v="3"/>
    <s v="Unknown"/>
    <s v="US"/>
    <n v="0"/>
    <n v="56.3867031891767"/>
    <s v="Normal"/>
    <n v="1913.2540644774299"/>
  </r>
  <r>
    <s v="TXN000408"/>
    <s v="USR00169"/>
    <s v="Wallet"/>
    <n v="39009.962861922701"/>
    <d v="2025-11-14T00:00:00"/>
    <s v="03:45:51"/>
    <x v="7"/>
    <s v="Ios"/>
    <s v="Premium"/>
    <x v="1"/>
    <s v="MCH1609"/>
    <s v="Entertainment"/>
    <n v="1134.67402012046"/>
    <n v="27.550767579415499"/>
    <s v="Pending"/>
    <n v="0"/>
    <s v="Firefox"/>
    <s v="UK"/>
    <n v="11.930020226762"/>
    <n v="91.485780592075997"/>
    <s v="High"/>
    <n v="1107.1232525410401"/>
  </r>
  <r>
    <s v="TXN000406"/>
    <s v="USR00208"/>
    <s v="Card"/>
    <n v="11053.575201539799"/>
    <d v="2025-11-14T00:00:00"/>
    <s v="16:31:06"/>
    <x v="8"/>
    <s v="Ios"/>
    <s v="Premium"/>
    <x v="0"/>
    <s v="MCH7638"/>
    <s v="Entertainment"/>
    <n v="2427.4565810172098"/>
    <n v="229.67182779697799"/>
    <s v="Failed"/>
    <n v="3"/>
    <s v="Chrome"/>
    <s v="IN"/>
    <n v="-28.797240028046101"/>
    <n v="1.8927640511463499"/>
    <s v="Low"/>
    <n v="2197.78475322023"/>
  </r>
  <r>
    <s v="TXN000337"/>
    <s v="USR00052"/>
    <s v="Wallet"/>
    <n v="9304.6972838009206"/>
    <d v="2025-11-15T00:00:00"/>
    <s v="22:48:54"/>
    <x v="1"/>
    <s v="Ios"/>
    <s v="Premium"/>
    <x v="1"/>
    <s v="MCH8984"/>
    <s v="Retail"/>
    <n v="407.77089048722399"/>
    <n v="471.49139203556803"/>
    <s v="Failed"/>
    <n v="0"/>
    <s v="Unknown"/>
    <s v="UK"/>
    <n v="0.265484763806214"/>
    <n v="47.8644870550525"/>
    <s v="Normal"/>
    <n v="0"/>
  </r>
  <r>
    <s v="TXN000087"/>
    <s v="USR00104"/>
    <s v="NetBanking"/>
    <n v="30136.5762374939"/>
    <d v="2025-11-15T00:00:00"/>
    <s v="14:52:59"/>
    <x v="1"/>
    <s v="Android"/>
    <s v="Regular"/>
    <x v="1"/>
    <s v="MCH8566"/>
    <s v="Retail"/>
    <n v="4720.6920129741302"/>
    <n v="0"/>
    <s v="Pending"/>
    <n v="3"/>
    <s v="Firefox"/>
    <s v="IN"/>
    <n v="19.228140981651201"/>
    <n v="81.190911495990505"/>
    <s v="High"/>
    <n v="4720.6920129741302"/>
  </r>
  <r>
    <s v="TXN000239"/>
    <s v="USR00129"/>
    <s v="Card"/>
    <n v="27188.180599609099"/>
    <d v="2025-11-15T00:00:00"/>
    <s v="08:00:01"/>
    <x v="2"/>
    <s v="Web"/>
    <s v="Premium"/>
    <x v="0"/>
    <s v="MCH6901"/>
    <s v="Travel"/>
    <n v="4207.9889149914998"/>
    <n v="0"/>
    <s v="Failed"/>
    <n v="4"/>
    <s v="Chrome"/>
    <s v="IN"/>
    <n v="-14.5991645009842"/>
    <n v="99.071255862310494"/>
    <s v="High"/>
    <n v="4207.9889149914998"/>
  </r>
  <r>
    <s v="TXN000303"/>
    <s v="USR00068"/>
    <s v="Card"/>
    <n v="16674.105991481501"/>
    <d v="2025-11-16T00:00:00"/>
    <s v="03:39:34"/>
    <x v="7"/>
    <s v="Web"/>
    <s v="Premium"/>
    <x v="1"/>
    <s v="MCH6983"/>
    <s v="Health"/>
    <n v="3161.4036832040501"/>
    <n v="233.630498003751"/>
    <s v="Pending"/>
    <n v="2"/>
    <s v="Chrome"/>
    <s v="US"/>
    <n v="11.6443400118591"/>
    <n v="59.970441340809998"/>
    <s v="Normal"/>
    <n v="2927.7731852002998"/>
  </r>
  <r>
    <s v="TXN000348"/>
    <s v="USR00185"/>
    <s v="UPI"/>
    <n v="29413.934851280301"/>
    <d v="2025-11-16T00:00:00"/>
    <s v="19:09:49"/>
    <x v="7"/>
    <s v="Ios"/>
    <s v="Regular"/>
    <x v="1"/>
    <s v="MCH3350"/>
    <s v="Travel"/>
    <n v="4252.1731539065604"/>
    <n v="319.55392349735303"/>
    <s v="Failed"/>
    <n v="4"/>
    <s v="Firefox"/>
    <s v="UK"/>
    <n v="11.2746054873195"/>
    <n v="60.902894470691599"/>
    <s v="Normal"/>
    <n v="3932.6192304092101"/>
  </r>
  <r>
    <s v="TXN000141"/>
    <s v="USR00243"/>
    <s v="Card"/>
    <n v="36867.441522206202"/>
    <d v="2025-11-19T00:00:00"/>
    <s v="11:26:31"/>
    <x v="1"/>
    <s v="Android"/>
    <s v="Regular"/>
    <x v="0"/>
    <s v="MCH4075"/>
    <s v="Entertainment"/>
    <n v="899.40201697269003"/>
    <n v="0"/>
    <s v="Success"/>
    <n v="1"/>
    <s v="Unknown"/>
    <s v="US"/>
    <n v="15.6186990662654"/>
    <n v="47.9519237111354"/>
    <s v="Normal"/>
    <n v="899.40201697269003"/>
  </r>
  <r>
    <s v="TXN000173"/>
    <s v="USR00227"/>
    <s v="NetBanking"/>
    <n v="41060.987510352301"/>
    <d v="2025-11-19T00:00:00"/>
    <s v="03:17:54"/>
    <x v="1"/>
    <s v="Ios"/>
    <s v="Premium "/>
    <x v="0"/>
    <s v="MCH1224"/>
    <s v="Health"/>
    <n v="571.75616548302605"/>
    <n v="0"/>
    <s v="Pending"/>
    <n v="2"/>
    <s v="N/A"/>
    <s v="US"/>
    <n v="28.086734184367"/>
    <n v="16.251564475711501"/>
    <s v="Low"/>
    <n v="571.75616548302605"/>
  </r>
  <r>
    <s v="TXN000073"/>
    <s v="USR00130"/>
    <s v="NetBanking"/>
    <n v="10535.6264748179"/>
    <d v="2025-11-20T00:00:00"/>
    <s v="02:07:45"/>
    <x v="3"/>
    <s v="Android"/>
    <s v="Premium "/>
    <x v="1"/>
    <s v="MCH8984"/>
    <s v="Health"/>
    <n v="4273.9796219660002"/>
    <n v="422.43204270525399"/>
    <s v="Success"/>
    <n v="4"/>
    <s v="Edge"/>
    <s v="IN"/>
    <n v="16.455068862040299"/>
    <n v="89.397266842442903"/>
    <s v="High"/>
    <n v="3851.5475792607499"/>
  </r>
  <r>
    <s v="TXN000248"/>
    <s v="USR00103"/>
    <s v="UPI"/>
    <n v="28700.227377943698"/>
    <d v="2025-11-20T00:00:00"/>
    <s v="04:31:43"/>
    <x v="9"/>
    <s v="Ios"/>
    <s v="Regular"/>
    <x v="1"/>
    <s v="MCH4982"/>
    <s v="Entertainment"/>
    <n v="0"/>
    <n v="0"/>
    <s v="Failed"/>
    <n v="3"/>
    <s v="N/A"/>
    <s v="UK"/>
    <n v="10.110294069059"/>
    <n v="36.250973132212401"/>
    <s v="Low"/>
    <n v="0"/>
  </r>
  <r>
    <s v="TXN000235"/>
    <s v="USR00217"/>
    <s v="Wallet"/>
    <n v="19634.957299054899"/>
    <d v="2025-11-22T00:00:00"/>
    <s v="19:28:37"/>
    <x v="0"/>
    <s v="Android"/>
    <s v="Premium"/>
    <x v="0"/>
    <s v="MCH5815"/>
    <s v="Utilities"/>
    <n v="4888.6064781340201"/>
    <n v="417.16239787469902"/>
    <s v="Failed"/>
    <n v="0"/>
    <s v="Unknown"/>
    <s v="US"/>
    <n v="-12.424487795812601"/>
    <n v="45.386861999593599"/>
    <s v="Normal"/>
    <n v="4471.4440802593199"/>
  </r>
  <r>
    <s v="TXN000156"/>
    <s v="USR00072"/>
    <s v="Card"/>
    <n v="24441.709060355999"/>
    <d v="2025-11-24T00:00:00"/>
    <s v="07:19:02"/>
    <x v="7"/>
    <s v="Ios"/>
    <s v="New"/>
    <x v="0"/>
    <s v="MCH4722"/>
    <s v="Health"/>
    <n v="4480.5301897991703"/>
    <n v="78.181070822437505"/>
    <s v="Failed"/>
    <n v="0"/>
    <s v="Edge"/>
    <s v="US"/>
    <n v="2.44545011324138"/>
    <n v="10.9636282535186"/>
    <s v="Low"/>
    <n v="4402.3491189767301"/>
  </r>
  <r>
    <s v="TXN000403"/>
    <s v="USR00194"/>
    <s v="Wallet"/>
    <n v="38714.342707746902"/>
    <d v="2025-11-24T00:00:00"/>
    <s v="23:46:39"/>
    <x v="4"/>
    <s v="Web"/>
    <s v="New"/>
    <x v="1"/>
    <s v="MCH6919"/>
    <s v="Travel"/>
    <n v="2937.9365191412498"/>
    <n v="181.14674500010199"/>
    <s v="Pending"/>
    <n v="0"/>
    <s v="N/A"/>
    <s v="IN"/>
    <n v="-12.5150916794371"/>
    <n v="23.400528716037002"/>
    <s v="Low"/>
    <n v="2756.7897741411498"/>
  </r>
  <r>
    <s v="TXN000017"/>
    <s v="USR00100"/>
    <s v="Card"/>
    <n v="782.231044867165"/>
    <d v="2025-11-24T00:00:00"/>
    <s v="00:56:53"/>
    <x v="5"/>
    <s v="Web"/>
    <s v="Premium"/>
    <x v="0"/>
    <s v="MCH2260"/>
    <s v="Entertainment"/>
    <n v="171.859020014131"/>
    <n v="0"/>
    <s v="Failed"/>
    <n v="1"/>
    <s v="N/A"/>
    <s v="US"/>
    <n v="-12.139274486257699"/>
    <n v="70.565933387394693"/>
    <s v="Normal"/>
    <n v="171.859020014131"/>
  </r>
  <r>
    <s v="TXN000135"/>
    <s v="USR00129"/>
    <s v="Wallet"/>
    <n v="17212.0505274852"/>
    <d v="2025-11-25T00:00:00"/>
    <s v="03:39:36"/>
    <x v="9"/>
    <s v="Ios"/>
    <s v="Premium "/>
    <x v="1"/>
    <s v="MCH3710"/>
    <s v="Utilities"/>
    <n v="4977.5970541167299"/>
    <n v="0"/>
    <s v="Pending"/>
    <n v="1"/>
    <s v="Edge"/>
    <s v="US"/>
    <n v="22.4992612831591"/>
    <n v="3.3545871412157799"/>
    <s v="Low"/>
    <n v="4977.5970541167299"/>
  </r>
  <r>
    <s v="TXN000105"/>
    <s v="USR00095"/>
    <s v="Card"/>
    <n v="18926.569665579402"/>
    <d v="2025-11-26T00:00:00"/>
    <s v="06:53:00"/>
    <x v="10"/>
    <s v="Ios"/>
    <s v="Regular"/>
    <x v="1"/>
    <s v="MCH8023"/>
    <s v="Entertainment"/>
    <n v="3399.39094235824"/>
    <n v="0"/>
    <s v="Success"/>
    <n v="1"/>
    <s v="Firefox"/>
    <s v="US"/>
    <n v="-9.2240375079150905"/>
    <n v="32.226039381948503"/>
    <s v="Low"/>
    <n v="3399.39094235824"/>
  </r>
  <r>
    <s v="TXN000147"/>
    <s v="USR00123"/>
    <s v="Wallet"/>
    <n v="44992.405117536102"/>
    <d v="2025-11-28T00:00:00"/>
    <s v="01:37:16"/>
    <x v="2"/>
    <s v="Ios"/>
    <s v="Premium"/>
    <x v="0"/>
    <s v="MCH2447"/>
    <s v="Health"/>
    <n v="0"/>
    <n v="0"/>
    <s v="Failed"/>
    <n v="2"/>
    <s v="Safari"/>
    <s v="UK"/>
    <n v="21.2554836932364"/>
    <n v="58.186526650470803"/>
    <s v="Normal"/>
    <n v="0"/>
  </r>
  <r>
    <s v="TXN000456"/>
    <s v="USR00192"/>
    <s v="NetBanking"/>
    <n v="36104.489769983098"/>
    <d v="2025-11-28T00:00:00"/>
    <s v="23:25:32"/>
    <x v="8"/>
    <s v="Android"/>
    <s v="Regular"/>
    <x v="1"/>
    <s v="MCH6594"/>
    <s v="Food"/>
    <n v="3417.90284812448"/>
    <n v="0"/>
    <s v="Success"/>
    <n v="4"/>
    <s v="Chrome"/>
    <s v="UK"/>
    <n v="27.546737519777601"/>
    <n v="58.915637739378802"/>
    <s v="Normal"/>
    <n v="3417.90284812448"/>
  </r>
  <r>
    <s v="TXN000092"/>
    <s v="USR00106"/>
    <s v="Card"/>
    <n v="1687.05360610974"/>
    <d v="2025-11-29T00:00:00"/>
    <s v="13:03:47"/>
    <x v="7"/>
    <s v="Android"/>
    <s v="New"/>
    <x v="1"/>
    <s v="MCH3466"/>
    <s v="Utilities"/>
    <n v="4933.4874148663303"/>
    <n v="0"/>
    <s v="Pending"/>
    <n v="4"/>
    <s v="N/A"/>
    <s v="UK"/>
    <n v="-12.7368939305982"/>
    <n v="15.6426918821619"/>
    <s v="Low"/>
    <n v="4933.4874148663303"/>
  </r>
  <r>
    <s v="TXN000499"/>
    <s v="USR00175"/>
    <s v="UPI"/>
    <n v="32368.579463946498"/>
    <d v="2025-11-30T00:00:00"/>
    <s v="02:40:58"/>
    <x v="4"/>
    <s v="Web"/>
    <s v="Regular"/>
    <x v="0"/>
    <s v="MCH6696"/>
    <s v="Retail"/>
    <n v="4075.0808930815301"/>
    <n v="121.589990132113"/>
    <s v="Success"/>
    <n v="1"/>
    <s v="Chrome"/>
    <s v="UK"/>
    <n v="-9.4786401451210995"/>
    <n v="0.98468250120109502"/>
    <s v="Low"/>
    <n v="3953.4909029494202"/>
  </r>
  <r>
    <s v="TXN000477"/>
    <s v="USR00188"/>
    <s v="Wallet"/>
    <n v="23038.107486780402"/>
    <d v="2025-12-01T00:00:00"/>
    <s v="12:14:17"/>
    <x v="10"/>
    <s v="Android"/>
    <s v="New"/>
    <x v="1"/>
    <s v="MCH1857"/>
    <s v="Health"/>
    <n v="551.83022022582497"/>
    <n v="229.651844106537"/>
    <s v="Success"/>
    <n v="0"/>
    <s v="N/A"/>
    <s v="UK"/>
    <n v="14.9043806643023"/>
    <n v="10.226428099711599"/>
    <s v="Low"/>
    <n v="322.17837611928798"/>
  </r>
  <r>
    <s v="TXN000241"/>
    <s v="USR00027"/>
    <s v="Card"/>
    <n v="16707.507717033001"/>
    <d v="2025-12-01T00:00:00"/>
    <s v="09:49:57"/>
    <x v="2"/>
    <s v="Android"/>
    <s v="Regular"/>
    <x v="0"/>
    <s v="MCH2094"/>
    <s v="Food"/>
    <n v="3559.0506082279098"/>
    <n v="0"/>
    <s v="Failed"/>
    <n v="2"/>
    <s v="Edge"/>
    <s v="US"/>
    <n v="-1.19888940932275"/>
    <n v="50.645637703651403"/>
    <s v="Normal"/>
    <n v="3559.0506082279098"/>
  </r>
  <r>
    <s v="TXN000012"/>
    <s v="USR00215"/>
    <s v="Wallet"/>
    <n v="41475.294613255101"/>
    <d v="2025-12-01T00:00:00"/>
    <s v="21:13:15"/>
    <x v="8"/>
    <s v="Android"/>
    <s v="Premium"/>
    <x v="0"/>
    <s v="MCH3052"/>
    <s v="Travel"/>
    <n v="1632.7288172680901"/>
    <n v="272.40054263804899"/>
    <s v="Failed"/>
    <n v="0"/>
    <s v="Firefox"/>
    <s v="IN"/>
    <n v="4.26558974607088"/>
    <n v="63.044811565799002"/>
    <s v="Normal"/>
    <n v="1360.3282746300399"/>
  </r>
  <r>
    <s v="TXN000184"/>
    <s v="USR00027"/>
    <s v="Card"/>
    <n v="35390.7817726578"/>
    <d v="2025-12-02T00:00:00"/>
    <s v="20:34:01"/>
    <x v="5"/>
    <s v="Web"/>
    <s v="Premium"/>
    <x v="1"/>
    <s v="MCH2609"/>
    <s v="Utilities"/>
    <n v="1573.12892627973"/>
    <n v="315.86120916329202"/>
    <s v="Failed"/>
    <n v="1"/>
    <s v="Safari"/>
    <s v="UK"/>
    <n v="-3.5866964246300901"/>
    <n v="44.577874755947001"/>
    <s v="Low"/>
    <n v="1257.2677171164401"/>
  </r>
  <r>
    <s v="TXN000289"/>
    <s v="USR00229"/>
    <s v="Wallet"/>
    <n v="1248.8279789031101"/>
    <d v="2025-12-03T00:00:00"/>
    <s v="10:24:21"/>
    <x v="2"/>
    <s v="Android"/>
    <s v="Regular"/>
    <x v="1"/>
    <s v="MCH5675"/>
    <s v="Health"/>
    <n v="1341.54696926833"/>
    <n v="0"/>
    <s v="Failed"/>
    <n v="3"/>
    <s v="Firefox"/>
    <s v="IN"/>
    <n v="10.7272933356147"/>
    <n v="57.099157132597902"/>
    <s v="Normal"/>
    <n v="1341.54696926833"/>
  </r>
  <r>
    <s v="TXN000349"/>
    <s v="USR00217"/>
    <s v="NetBanking"/>
    <n v="14772.829493126501"/>
    <d v="2025-12-04T00:00:00"/>
    <s v="02:12:42"/>
    <x v="0"/>
    <s v="Ios"/>
    <s v="Regular"/>
    <x v="1"/>
    <s v="MCH2269"/>
    <s v="Retail"/>
    <n v="2016.4937905602801"/>
    <n v="170.48098682149401"/>
    <s v="Failed"/>
    <n v="2"/>
    <s v="Firefox"/>
    <s v="UK"/>
    <n v="21.837289320570601"/>
    <n v="76.898019522862995"/>
    <s v="Normal"/>
    <n v="1846.0128037387899"/>
  </r>
  <r>
    <s v="TXN000125"/>
    <s v="USR00237"/>
    <s v="UPI"/>
    <n v="17771.918872577"/>
    <d v="2025-12-04T00:00:00"/>
    <s v="10:09:08"/>
    <x v="8"/>
    <s v="Android"/>
    <s v="Premium "/>
    <x v="1"/>
    <s v="MCH8119"/>
    <s v="Health"/>
    <n v="401.033999465497"/>
    <n v="0"/>
    <s v="Success"/>
    <n v="4"/>
    <s v="Edge"/>
    <s v="US"/>
    <n v="15.4455062023995"/>
    <n v="14.152120244996"/>
    <s v="Low"/>
    <n v="401.033999465497"/>
  </r>
  <r>
    <s v="TXN000067"/>
    <s v="USR00014"/>
    <s v="UPI"/>
    <n v="42120.361609433603"/>
    <d v="2025-12-06T00:00:00"/>
    <s v="14:00:11"/>
    <x v="2"/>
    <s v="Ios"/>
    <s v="Premium"/>
    <x v="1"/>
    <s v="MCH1071"/>
    <s v="Health"/>
    <n v="4634.7157493275099"/>
    <n v="388.86395503389701"/>
    <s v="Success"/>
    <n v="2"/>
    <s v="Firefox"/>
    <s v="IN"/>
    <n v="15.837791779537101"/>
    <n v="83.787327011936299"/>
    <s v="High"/>
    <n v="4245.8517942936096"/>
  </r>
  <r>
    <s v="TXN000333"/>
    <s v="USR00147"/>
    <s v="UPI"/>
    <n v="23003.550502049002"/>
    <d v="2025-12-06T00:00:00"/>
    <s v="12:11:29"/>
    <x v="5"/>
    <s v="Ios"/>
    <s v="Regular"/>
    <x v="1"/>
    <s v="MCH3537"/>
    <s v="Health"/>
    <n v="2610.60273665365"/>
    <n v="0"/>
    <s v="Success"/>
    <n v="3"/>
    <s v="Firefox"/>
    <s v="UK"/>
    <n v="-11.9164922540185"/>
    <n v="40.796260220572599"/>
    <s v="Low"/>
    <n v="2610.60273665365"/>
  </r>
  <r>
    <s v="TXN000080"/>
    <s v="USR00008"/>
    <s v="NetBanking"/>
    <n v="34913.611927476901"/>
    <d v="2025-12-10T00:00:00"/>
    <s v="15:36:14"/>
    <x v="7"/>
    <s v="Ios"/>
    <s v="New"/>
    <x v="1"/>
    <s v="MCH5485"/>
    <s v="Retail"/>
    <n v="365.23959913745801"/>
    <n v="0"/>
    <s v="Failed"/>
    <n v="4"/>
    <s v="Edge"/>
    <s v="US"/>
    <n v="23.472047844108602"/>
    <n v="11.9888031483845"/>
    <s v="Low"/>
    <n v="365.23959913745801"/>
  </r>
  <r>
    <s v="TXN000232"/>
    <s v="USR00250"/>
    <s v="Card"/>
    <n v="21993.359301878099"/>
    <d v="2025-12-10T00:00:00"/>
    <s v="03:33:51"/>
    <x v="2"/>
    <s v="Web"/>
    <s v="Regular"/>
    <x v="1"/>
    <s v="MCH9711"/>
    <s v="Entertainment"/>
    <n v="1158.42670959312"/>
    <n v="0"/>
    <s v="Success"/>
    <n v="0"/>
    <s v="Edge"/>
    <s v="IN"/>
    <n v="27.973543542349201"/>
    <n v="18.657849925364101"/>
    <s v="Low"/>
    <n v="1158.42670959312"/>
  </r>
  <r>
    <s v="TXN000340"/>
    <s v="USR00168"/>
    <s v="Card"/>
    <n v="19926.173961334101"/>
    <d v="2025-12-10T00:00:00"/>
    <s v="14:10:56"/>
    <x v="4"/>
    <s v="Android"/>
    <s v="Regular"/>
    <x v="0"/>
    <s v="MCH4867"/>
    <s v="Health"/>
    <n v="3640.1710675550498"/>
    <n v="417.48689284148099"/>
    <s v="Failed"/>
    <n v="0"/>
    <s v="Safari"/>
    <s v="UK"/>
    <n v="-0.25855378627716902"/>
    <n v="29.2303046554837"/>
    <s v="Low"/>
    <n v="3222.68417471357"/>
  </r>
  <r>
    <s v="TXN000089"/>
    <s v="USR00002"/>
    <s v="Card"/>
    <n v="41107.352778537999"/>
    <d v="2025-12-10T00:00:00"/>
    <s v="10:50:14"/>
    <x v="5"/>
    <s v="Web"/>
    <s v="Premium"/>
    <x v="1"/>
    <s v="MCH8658"/>
    <s v="Entertainment"/>
    <n v="1482.73243009263"/>
    <n v="0"/>
    <s v="Pending"/>
    <n v="3"/>
    <s v="Edge"/>
    <s v="US"/>
    <n v="0.51164590641435104"/>
    <n v="18.985266027096898"/>
    <s v="Low"/>
    <n v="1482.73243009263"/>
  </r>
  <r>
    <s v="TXN000195"/>
    <s v="USR00231"/>
    <s v="NetBanking"/>
    <n v="10166.350070278801"/>
    <d v="2025-12-11T00:00:00"/>
    <s v="03:24:14"/>
    <x v="7"/>
    <s v="Ios"/>
    <s v="Premium "/>
    <x v="0"/>
    <s v="MCH5780"/>
    <s v="Food"/>
    <n v="1408.80803386004"/>
    <n v="0"/>
    <s v="Success"/>
    <n v="2"/>
    <s v="Chrome"/>
    <s v="US"/>
    <n v="19.020029009857801"/>
    <n v="57.717162662399602"/>
    <s v="Normal"/>
    <n v="1408.80803386004"/>
  </r>
  <r>
    <s v="TXN000178"/>
    <s v="USR00001"/>
    <s v="Card"/>
    <n v="10333.370251458"/>
    <d v="2025-12-13T00:00:00"/>
    <s v="09:37:17"/>
    <x v="7"/>
    <s v="Web"/>
    <s v="Premium"/>
    <x v="1"/>
    <s v="MCH3931"/>
    <s v="Utilities"/>
    <n v="3776.6008466169201"/>
    <n v="289.65670139423003"/>
    <s v="Failed"/>
    <n v="1"/>
    <s v="Chrome"/>
    <s v="IN"/>
    <n v="19.527499547777101"/>
    <n v="37.738762497477602"/>
    <s v="Low"/>
    <n v="3486.9441452226902"/>
  </r>
  <r>
    <s v="TXN000405"/>
    <s v="USR00163"/>
    <s v="NetBanking"/>
    <n v="43067.2941967386"/>
    <d v="2025-12-14T00:00:00"/>
    <s v="09:34:50"/>
    <x v="1"/>
    <s v="Android"/>
    <s v="Premium "/>
    <x v="1"/>
    <s v="MCH9872"/>
    <s v="Entertainment"/>
    <n v="3115.06137059617"/>
    <n v="350.74955073258297"/>
    <s v="Success"/>
    <n v="2"/>
    <s v="Chrome"/>
    <s v="UK"/>
    <n v="-11.4918472450388"/>
    <n v="25.9215333771986"/>
    <s v="Low"/>
    <n v="2764.3118198635898"/>
  </r>
  <r>
    <s v="TXN000170"/>
    <s v="USR00219"/>
    <s v="UPI"/>
    <n v="48755.851430962597"/>
    <d v="2025-12-15T00:00:00"/>
    <s v="01:26:56"/>
    <x v="5"/>
    <s v="Android"/>
    <s v="Premium"/>
    <x v="1"/>
    <s v="MCH8483"/>
    <s v="Entertainment"/>
    <n v="2875.2693307474101"/>
    <n v="0"/>
    <s v="Pending"/>
    <n v="3"/>
    <s v="Unknown"/>
    <s v="UK"/>
    <n v="11.752894462109101"/>
    <n v="51.644434190282098"/>
    <s v="Normal"/>
    <n v="2875.2693307474101"/>
  </r>
  <r>
    <s v="TXN000322"/>
    <s v="USR00187"/>
    <s v="UPI"/>
    <n v="12486.4994935819"/>
    <d v="2025-12-15T00:00:00"/>
    <s v="09:37:45"/>
    <x v="2"/>
    <s v="Ios"/>
    <s v="Regular"/>
    <x v="1"/>
    <s v="MCH6300"/>
    <s v="Utilities"/>
    <n v="3305.9386471993698"/>
    <n v="0"/>
    <s v="Failed"/>
    <n v="1"/>
    <s v="Chrome"/>
    <s v="UK"/>
    <n v="-9.0838518334292608"/>
    <n v="48.180344253894098"/>
    <s v="Normal"/>
    <n v="3305.9386471993698"/>
  </r>
  <r>
    <s v="TXN000101"/>
    <s v="USR00202"/>
    <s v="Card"/>
    <n v="24109.155163408999"/>
    <d v="2025-12-15T00:00:00"/>
    <s v="12:30:06"/>
    <x v="5"/>
    <s v="Android"/>
    <s v="Regular"/>
    <x v="1"/>
    <s v="MCH3402"/>
    <s v="Food"/>
    <n v="1127.6769392418501"/>
    <n v="0"/>
    <s v="Failed"/>
    <n v="3"/>
    <s v="Safari"/>
    <s v="US"/>
    <n v="15.374015388972801"/>
    <n v="83.578307085460096"/>
    <s v="High"/>
    <n v="1127.6769392418501"/>
  </r>
  <r>
    <s v="TXN000039"/>
    <s v="USR00219"/>
    <s v="Wallet"/>
    <n v="41585.437354118803"/>
    <d v="2025-12-15T00:00:00"/>
    <s v="19:15:49"/>
    <x v="5"/>
    <s v="Android"/>
    <s v="New"/>
    <x v="0"/>
    <s v="MCH7686"/>
    <s v="Travel"/>
    <n v="3178.49508169106"/>
    <n v="0"/>
    <s v="Success"/>
    <n v="1"/>
    <s v="Firefox"/>
    <s v="US"/>
    <n v="-0.83734809092074902"/>
    <n v="84.764032950925497"/>
    <s v="High"/>
    <n v="3178.49508169106"/>
  </r>
  <r>
    <s v="TXN000458"/>
    <s v="USR00017"/>
    <s v="NetBanking"/>
    <n v="47470.409173182503"/>
    <d v="2025-12-16T00:00:00"/>
    <s v="01:40:50"/>
    <x v="4"/>
    <s v="Web"/>
    <s v="New"/>
    <x v="1"/>
    <s v="MCH8371"/>
    <s v="Food"/>
    <n v="4146.9922141672996"/>
    <n v="0"/>
    <s v="Failed"/>
    <n v="2"/>
    <s v="Safari"/>
    <s v="US"/>
    <n v="17.3627595362146"/>
    <n v="74.514480982782004"/>
    <s v="Normal"/>
    <n v="4146.9922141672996"/>
  </r>
  <r>
    <s v="TXN000445"/>
    <s v="USR00097"/>
    <s v="Card"/>
    <n v="38568.477715507099"/>
    <d v="2025-12-18T00:00:00"/>
    <s v="02:32:03"/>
    <x v="8"/>
    <s v="Ios"/>
    <s v="Regular"/>
    <x v="0"/>
    <s v="MCH3240"/>
    <s v="Entertainment"/>
    <n v="585.36732213811604"/>
    <n v="62.625615548104001"/>
    <s v="Failed"/>
    <n v="1"/>
    <s v="Chrome"/>
    <s v="US"/>
    <n v="-0.36904825751398501"/>
    <n v="84.303694692770307"/>
    <s v="High"/>
    <n v="522.74170659001197"/>
  </r>
  <r>
    <s v="TXN000246"/>
    <s v="USR00233"/>
    <s v="NetBanking"/>
    <n v="24821.638957557901"/>
    <d v="2025-12-18T00:00:00"/>
    <s v="16:59:22"/>
    <x v="1"/>
    <s v="Android"/>
    <s v="Premium "/>
    <x v="1"/>
    <s v="MCH7940"/>
    <s v="Travel"/>
    <n v="4583.2475375858303"/>
    <n v="264.35365994202601"/>
    <s v="Failed"/>
    <n v="0"/>
    <s v="Unknown"/>
    <s v="IN"/>
    <n v="-14.1592292356864"/>
    <n v="48.118815147510198"/>
    <s v="Normal"/>
    <n v="4318.8938776437999"/>
  </r>
  <r>
    <s v="TXN000187"/>
    <s v="USR00015"/>
    <s v="NetBanking"/>
    <n v="25354.587422331399"/>
    <d v="2025-12-19T00:00:00"/>
    <s v="09:24:01"/>
    <x v="8"/>
    <s v="Android"/>
    <s v="New"/>
    <x v="1"/>
    <s v="MCH7782"/>
    <s v="Food"/>
    <n v="3732.9414727210001"/>
    <n v="0"/>
    <s v="Failed"/>
    <n v="0"/>
    <s v="Safari"/>
    <s v="IN"/>
    <n v="7.70536973506037"/>
    <n v="51.939768528346796"/>
    <s v="Normal"/>
    <n v="3732.9414727210001"/>
  </r>
  <r>
    <s v="TXN000455"/>
    <s v="USR00035"/>
    <s v="NetBanking"/>
    <n v="45784.132496866499"/>
    <d v="2025-12-19T00:00:00"/>
    <s v="15:20:27"/>
    <x v="1"/>
    <s v="Web"/>
    <s v="New"/>
    <x v="0"/>
    <s v="MCH4744"/>
    <s v="Travel"/>
    <n v="1812.66077157379"/>
    <n v="19.898563667826298"/>
    <s v="Failed"/>
    <n v="3"/>
    <s v="Chrome"/>
    <s v="US"/>
    <n v="9.4673268021711596"/>
    <n v="33.646116257721197"/>
    <s v="Low"/>
    <n v="1792.7622079059599"/>
  </r>
  <r>
    <s v="TXN000374"/>
    <s v="USR00099"/>
    <s v="Card"/>
    <n v="28515.2315363987"/>
    <d v="2025-12-19T00:00:00"/>
    <s v="10:19:17"/>
    <x v="1"/>
    <s v="Ios"/>
    <s v="Regular"/>
    <x v="1"/>
    <s v="MCH1279"/>
    <s v="Health"/>
    <n v="2521.0347868645899"/>
    <n v="487.800959578326"/>
    <s v="Success"/>
    <n v="4"/>
    <s v="Firefox"/>
    <s v="UK"/>
    <n v="16.519915793155"/>
    <n v="56.325584382568302"/>
    <s v="Normal"/>
    <n v="2033.2338272862601"/>
  </r>
  <r>
    <s v="TXN000230"/>
    <s v="USR00075"/>
    <s v="Card"/>
    <n v="31242.6670546737"/>
    <d v="2025-12-20T00:00:00"/>
    <s v="10:20:51"/>
    <x v="0"/>
    <s v="Android"/>
    <s v="Premium "/>
    <x v="1"/>
    <s v="MCH5471"/>
    <s v="Food"/>
    <n v="2169.3681064990901"/>
    <n v="383.88230885716899"/>
    <s v="Success"/>
    <n v="1"/>
    <s v="Unknown"/>
    <s v="UK"/>
    <n v="9.1912313494687492"/>
    <n v="85.582290712390403"/>
    <s v="High"/>
    <n v="1785.48579764192"/>
  </r>
  <r>
    <s v="TXN000474"/>
    <s v="USR00181"/>
    <s v="UPI"/>
    <n v="20698.3981752769"/>
    <d v="2025-12-20T00:00:00"/>
    <s v="19:13:35"/>
    <x v="10"/>
    <s v="Web"/>
    <s v="Regular"/>
    <x v="1"/>
    <s v="MCH5039"/>
    <s v="Retail"/>
    <n v="508.938313510836"/>
    <n v="0"/>
    <s v="Failed"/>
    <n v="4"/>
    <s v="Chrome"/>
    <s v="IN"/>
    <n v="22.493834075875601"/>
    <n v="45.693884989824902"/>
    <s v="Normal"/>
    <n v="508.938313510836"/>
  </r>
  <r>
    <s v="TXN000176"/>
    <s v="USR00206"/>
    <s v="Card"/>
    <n v="23883.312257908001"/>
    <d v="2025-12-20T00:00:00"/>
    <s v="04:51:41"/>
    <x v="7"/>
    <s v="Web"/>
    <s v="Premium "/>
    <x v="1"/>
    <s v="MCH1124"/>
    <s v="Utilities"/>
    <n v="1442.89526175221"/>
    <n v="166.88829853489901"/>
    <s v="Pending"/>
    <n v="2"/>
    <s v="Unknown"/>
    <s v="US"/>
    <n v="5.99314728316648"/>
    <n v="80.585770533406205"/>
    <s v="High"/>
    <n v="1276.0069632173099"/>
  </r>
  <r>
    <s v="TXN000491"/>
    <s v="USR00054"/>
    <s v="Wallet"/>
    <n v="47912.722570896098"/>
    <d v="2025-12-21T00:00:00"/>
    <s v="13:08:58"/>
    <x v="0"/>
    <s v="Android"/>
    <s v="Regular"/>
    <x v="0"/>
    <s v="MCH3657"/>
    <s v="Entertainment"/>
    <n v="1675.5082231022"/>
    <n v="122.327527302357"/>
    <s v="Failed"/>
    <n v="1"/>
    <s v="Edge"/>
    <s v="IN"/>
    <n v="-16.017322303987701"/>
    <n v="64.277366161829207"/>
    <s v="Normal"/>
    <n v="1553.1806957998399"/>
  </r>
  <r>
    <s v="TXN000215"/>
    <s v="USR00028"/>
    <s v="UPI"/>
    <n v="39097.572639395599"/>
    <d v="2025-12-22T00:00:00"/>
    <s v="03:59:37"/>
    <x v="3"/>
    <s v="Web"/>
    <s v="Premium"/>
    <x v="1"/>
    <s v="MCH1075"/>
    <s v="Food"/>
    <n v="4321.4658478793999"/>
    <n v="0"/>
    <s v="Pending"/>
    <n v="4"/>
    <s v="N/A"/>
    <s v="IN"/>
    <n v="-23.726228114739499"/>
    <n v="28.829580455425599"/>
    <s v="Low"/>
    <n v="4321.4658478793999"/>
  </r>
  <r>
    <s v="TXN000432"/>
    <s v="USR00238"/>
    <s v="Wallet"/>
    <n v="24923.498209596499"/>
    <d v="2025-12-22T00:00:00"/>
    <s v="05:32:27"/>
    <x v="10"/>
    <s v="Ios"/>
    <s v="Premium "/>
    <x v="0"/>
    <s v="MCH2985"/>
    <s v="Entertainment"/>
    <n v="734.92259439654094"/>
    <n v="177.641987118461"/>
    <s v="Failed"/>
    <n v="3"/>
    <s v="Chrome"/>
    <s v="US"/>
    <n v="27.160371989944501"/>
    <n v="70.530664253592704"/>
    <s v="Normal"/>
    <n v="557.28060727807997"/>
  </r>
  <r>
    <s v="TXN000198"/>
    <s v="USR00096"/>
    <s v="Card"/>
    <n v="7027.3561947568196"/>
    <d v="2025-12-22T00:00:00"/>
    <s v="12:30:13"/>
    <x v="4"/>
    <s v="Ios"/>
    <s v="Premium"/>
    <x v="1"/>
    <s v="MCH6695"/>
    <s v="Food"/>
    <n v="2288.4022715625201"/>
    <n v="0"/>
    <s v="Success"/>
    <n v="1"/>
    <s v="Chrome"/>
    <s v="IN"/>
    <n v="14.691921507976801"/>
    <n v="98.257892299220501"/>
    <s v="High"/>
    <n v="2288.4022715625201"/>
  </r>
  <r>
    <s v="TXN000294"/>
    <s v="USR00126"/>
    <s v="UPI"/>
    <n v="3958.32116789048"/>
    <d v="2025-12-23T00:00:00"/>
    <s v="11:12:21"/>
    <x v="4"/>
    <s v="Ios"/>
    <s v="New"/>
    <x v="1"/>
    <s v="MCH1287"/>
    <s v="Retail"/>
    <n v="623.32425707213201"/>
    <n v="0"/>
    <s v="Pending"/>
    <n v="3"/>
    <s v="Safari"/>
    <s v="US"/>
    <n v="-13.8219360468477"/>
    <n v="28.988067953386"/>
    <s v="Low"/>
    <n v="623.32425707213201"/>
  </r>
  <r>
    <s v="TXN000137"/>
    <s v="USR00136"/>
    <s v="Card"/>
    <n v="17819.7047336373"/>
    <d v="2025-12-23T00:00:00"/>
    <s v="08:07:32"/>
    <x v="3"/>
    <s v="Web"/>
    <s v="Premium "/>
    <x v="1"/>
    <s v="MCH9069"/>
    <s v="Utilities"/>
    <n v="1146.5104969598699"/>
    <n v="0"/>
    <s v="Success"/>
    <n v="2"/>
    <s v="Edge"/>
    <s v="IN"/>
    <n v="24.905000001484499"/>
    <n v="69.482757932812603"/>
    <s v="Normal"/>
    <n v="1146.5104969598699"/>
  </r>
  <r>
    <s v="TXN000066"/>
    <s v="USR00060"/>
    <s v="NetBanking"/>
    <n v="23021.405716514"/>
    <d v="2025-12-25T00:00:00"/>
    <s v="06:24:20"/>
    <x v="7"/>
    <s v="Android"/>
    <s v="Premium"/>
    <x v="0"/>
    <s v="MCH8693"/>
    <s v="Entertainment"/>
    <n v="2752.32148987955"/>
    <n v="0"/>
    <s v="Success"/>
    <n v="0"/>
    <s v="Unknown"/>
    <s v="US"/>
    <n v="1.6288376579508299"/>
    <n v="88.636864709554104"/>
    <s v="High"/>
    <n v="2752.32148987955"/>
  </r>
  <r>
    <s v="TXN000385"/>
    <s v="USR00116"/>
    <s v="Wallet"/>
    <n v="20378.976182848699"/>
    <d v="2025-12-25T00:00:00"/>
    <s v="22:25:36"/>
    <x v="10"/>
    <s v="Android"/>
    <s v="Regular"/>
    <x v="1"/>
    <s v="MCH8189"/>
    <s v="Health"/>
    <n v="2790.1147366786699"/>
    <n v="0"/>
    <s v="Failed"/>
    <n v="3"/>
    <s v="Edge"/>
    <s v="IN"/>
    <n v="-2.4810061151354401"/>
    <n v="7.8980599366231701"/>
    <s v="Low"/>
    <n v="2790.1147366786699"/>
  </r>
  <r>
    <s v="TXN000398"/>
    <s v="USR00093"/>
    <s v="UPI"/>
    <n v="41272.855837990697"/>
    <d v="2025-12-25T00:00:00"/>
    <s v="09:20:04"/>
    <x v="0"/>
    <s v="Ios"/>
    <s v="New"/>
    <x v="1"/>
    <s v="MCH4789"/>
    <s v="Food"/>
    <n v="3736.8841238730702"/>
    <n v="455.90928476972402"/>
    <s v="Success"/>
    <n v="3"/>
    <s v="Unknown"/>
    <s v="IN"/>
    <n v="3.4457567558591902"/>
    <n v="12.8515668444116"/>
    <s v="Low"/>
    <n v="3280.97483910335"/>
  </r>
  <r>
    <s v="TXN000228"/>
    <s v="USR00030"/>
    <s v="NetBanking"/>
    <n v="-999"/>
    <d v="2025-12-26T00:00:00"/>
    <s v="12:31:35"/>
    <x v="4"/>
    <s v="Web"/>
    <s v="Regular"/>
    <x v="0"/>
    <s v="MCH1016"/>
    <s v="Travel"/>
    <n v="2711.0438971782"/>
    <n v="387.93862723484602"/>
    <s v="Failed"/>
    <n v="4"/>
    <s v="Safari"/>
    <s v="UK"/>
    <n v="5.2610850237006401"/>
    <n v="20.341300219831499"/>
    <s v="Low"/>
    <n v="2323.1052699433499"/>
  </r>
  <r>
    <s v="TXN000392"/>
    <s v="USR00084"/>
    <s v="NetBanking"/>
    <n v="43834.559386177199"/>
    <d v="2025-12-26T00:00:00"/>
    <s v="00:16:23"/>
    <x v="10"/>
    <s v="Web"/>
    <s v="Regular"/>
    <x v="1"/>
    <s v="MCH9044"/>
    <s v="Travel"/>
    <n v="4929.5528354494199"/>
    <n v="325.09358322282702"/>
    <s v="Failed"/>
    <n v="4"/>
    <s v="Chrome"/>
    <s v="US"/>
    <n v="-10.7707861406672"/>
    <n v="24.406401096725101"/>
    <s v="Low"/>
    <n v="4604.4592522265903"/>
  </r>
  <r>
    <s v="TXN000447"/>
    <s v="USR00111"/>
    <s v="Wallet"/>
    <n v="17758.181690406302"/>
    <d v="2025-12-27T00:00:00"/>
    <s v="04:34:27"/>
    <x v="9"/>
    <s v="Ios"/>
    <s v="New"/>
    <x v="1"/>
    <s v="MCH8604"/>
    <s v="Health"/>
    <n v="3089.9592221282201"/>
    <n v="0"/>
    <s v="Success"/>
    <n v="4"/>
    <s v="Chrome"/>
    <s v="IN"/>
    <n v="16.178529833019301"/>
    <n v="52.212649343217699"/>
    <s v="Normal"/>
    <n v="3089.9592221282201"/>
  </r>
  <r>
    <s v="TXN000420"/>
    <s v="USR00135"/>
    <s v="NetBanking"/>
    <n v="32288.202971689501"/>
    <d v="2025-12-28T00:00:00"/>
    <s v="04:50:10"/>
    <x v="7"/>
    <s v="Web"/>
    <s v="Regular"/>
    <x v="1"/>
    <s v="MCH8454"/>
    <s v="Retail"/>
    <n v="4812.4054156168904"/>
    <n v="155.82645832732399"/>
    <s v="Pending"/>
    <n v="2"/>
    <s v="Firefox"/>
    <s v="UK"/>
    <n v="18.788999301828799"/>
    <n v="83.897109667406795"/>
    <s v="High"/>
    <n v="4656.5789572895701"/>
  </r>
  <r>
    <s v="TXN000193"/>
    <s v="USR00063"/>
    <s v="Card"/>
    <n v="27475.295585113799"/>
    <d v="2025-12-29T00:00:00"/>
    <s v="12:52:33"/>
    <x v="2"/>
    <s v="Android"/>
    <s v="Premium"/>
    <x v="1"/>
    <s v="MCH7548"/>
    <s v="Utilities"/>
    <n v="1201.55136001454"/>
    <n v="0"/>
    <s v="Failed"/>
    <n v="4"/>
    <s v="Edge"/>
    <s v="US"/>
    <n v="17.1401489926692"/>
    <n v="1.45341352659907"/>
    <s v="Low"/>
    <n v="1201.55136001454"/>
  </r>
  <r>
    <s v="TXN000211"/>
    <s v="USR00071"/>
    <s v="NetBanking"/>
    <n v="19023.506389693601"/>
    <d v="2025-12-29T00:00:00"/>
    <s v="00:03:03"/>
    <x v="2"/>
    <s v="Ios"/>
    <s v="Premium"/>
    <x v="1"/>
    <s v="MCH9622"/>
    <s v="Utilities"/>
    <n v="1433.2542712285699"/>
    <n v="0"/>
    <s v="Failed"/>
    <n v="0"/>
    <s v="Edge"/>
    <s v="US"/>
    <n v="15.816184025280799"/>
    <n v="74.959944112076201"/>
    <s v="Normal"/>
    <n v="1433.2542712285699"/>
  </r>
  <r>
    <s v="TXN000035"/>
    <s v="USR00022"/>
    <s v="Card"/>
    <n v="13506.7568530628"/>
    <d v="2025-12-30T00:00:00"/>
    <s v="06:30:55"/>
    <x v="2"/>
    <s v="Ios"/>
    <s v="New"/>
    <x v="0"/>
    <s v="MCH9806"/>
    <s v="Retail"/>
    <n v="319.606934465846"/>
    <n v="0"/>
    <s v="Failed"/>
    <n v="0"/>
    <s v="Edge"/>
    <s v="US"/>
    <n v="29.894041549723202"/>
    <n v="78.652588710359097"/>
    <s v="Normal"/>
    <n v="319.606934465846"/>
  </r>
  <r>
    <s v="TXN000465"/>
    <s v="USR00006"/>
    <s v="NetBanking"/>
    <n v="8184.4925067900704"/>
    <d v="2025-12-30T00:00:00"/>
    <s v="01:01:34"/>
    <x v="2"/>
    <s v="Android"/>
    <s v="Regular"/>
    <x v="0"/>
    <s v="MCH8130"/>
    <s v="N/A"/>
    <n v="3752.6795796620399"/>
    <n v="0"/>
    <s v="Success"/>
    <n v="2"/>
    <s v="N/A"/>
    <s v="IN"/>
    <n v="20.156129400990501"/>
    <n v="37.820678387307801"/>
    <s v="Low"/>
    <n v="3752.6795796620399"/>
  </r>
  <r>
    <s v="TXN000233"/>
    <s v="USR00247"/>
    <s v="Card"/>
    <n v="28916.564918215699"/>
    <d v="2025-12-31T00:00:00"/>
    <s v="15:59:17"/>
    <x v="7"/>
    <s v="Android"/>
    <s v="New"/>
    <x v="0"/>
    <s v="MCH6956"/>
    <s v="Travel"/>
    <n v="1848.2003421745501"/>
    <n v="56.982943559620601"/>
    <s v="Failed"/>
    <n v="3"/>
    <s v="Safari"/>
    <s v="UK"/>
    <n v="18.097169158922"/>
    <n v="26.9359700663538"/>
    <s v="Low"/>
    <n v="1791.2173986149301"/>
  </r>
  <r>
    <s v="TXN000001"/>
    <s v="USR00103"/>
    <s v="Wallet"/>
    <n v="4229.1461597617799"/>
    <d v="2025-12-31T00:00:00"/>
    <s v="22:36:04"/>
    <x v="9"/>
    <s v="Ios"/>
    <s v="Premium"/>
    <x v="1"/>
    <s v="MCH3773"/>
    <s v="Utilities"/>
    <n v="2809.1545733552298"/>
    <n v="0"/>
    <s v="Failed"/>
    <n v="0"/>
    <s v="Edge"/>
    <s v="UK"/>
    <n v="-15.462400247972001"/>
    <n v="27.479781076790101"/>
    <s v="Low"/>
    <n v="2809.1545733552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32DEA-3182-4CA9-A906-E3C079FA1580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24:H45" firstHeaderRow="1" firstDataRow="1" firstDataCol="1"/>
  <pivotFields count="22">
    <pivotField showAll="0"/>
    <pivotField showAll="0"/>
    <pivotField showAll="0"/>
    <pivotField dataField="1" numFmtId="2" showAll="0"/>
    <pivotField numFmtId="164" showAll="0"/>
    <pivotField showAll="0"/>
    <pivotField axis="axisRow" showAll="0" sortType="ascending">
      <items count="12">
        <item x="2"/>
        <item x="5"/>
        <item x="3"/>
        <item x="1"/>
        <item x="0"/>
        <item x="7"/>
        <item x="10"/>
        <item x="8"/>
        <item x="9"/>
        <item h="1" x="6"/>
        <item x="4"/>
        <item t="default"/>
      </items>
    </pivotField>
    <pivotField showAll="0"/>
    <pivotField showAll="0"/>
    <pivotField axis="axisRow" showAll="0" sortType="ascending">
      <items count="3">
        <item h="1"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showAll="0"/>
    <pivotField numFmtId="165" showAll="0"/>
  </pivotFields>
  <rowFields count="2">
    <field x="6"/>
    <field x="9"/>
  </rowFields>
  <rowItems count="21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10"/>
    </i>
    <i r="1">
      <x v="1"/>
    </i>
    <i t="grand">
      <x/>
    </i>
  </rowItems>
  <colItems count="1">
    <i/>
  </colItems>
  <dataFields count="1">
    <dataField name="Sum of Amount" fld="3" baseField="0" baseItem="0" numFmtId="2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ABED4-ABB2-4204-9260-3AD7E9AD58F8}" name="PivotTable2" cacheId="95" applyNumberFormats="0" applyBorderFormats="0" applyFontFormats="0" applyPatternFormats="0" applyAlignmentFormats="0" applyWidthHeightFormats="1" dataCaption="Values" tag="76bb759b-efa9-4208-abb9-da8535a55cc9" updatedVersion="8" minRefreshableVersion="3" useAutoFormatting="1" itemPrintTitles="1" createdVersion="5" indent="0" outline="1" outlineData="1" multipleFieldFilters="0" chartFormat="12">
  <location ref="D24:E31" firstHeaderRow="1" firstDataRow="1" firstDataCol="1"/>
  <pivotFields count="3">
    <pivotField axis="axisRow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x="1"/>
      </items>
    </pivotField>
  </pivotFields>
  <rowFields count="2">
    <field x="0"/>
    <field x="2"/>
  </rowFields>
  <rowItems count="7">
    <i>
      <x/>
    </i>
    <i r="1">
      <x/>
    </i>
    <i>
      <x v="1"/>
    </i>
    <i r="1">
      <x/>
    </i>
    <i>
      <x v="2"/>
    </i>
    <i r="1">
      <x/>
    </i>
    <i t="grand">
      <x/>
    </i>
  </rowItems>
  <colItems count="1">
    <i/>
  </colItems>
  <dataFields count="1">
    <dataField name="Sum of Amount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2">
    <rowHierarchyUsage hierarchyUsage="7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6]"/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5849D-8DC5-49EE-BD68-59CAAD78B9E0}" name="PivotTable1" cacheId="77" applyNumberFormats="0" applyBorderFormats="0" applyFontFormats="0" applyPatternFormats="0" applyAlignmentFormats="0" applyWidthHeightFormats="1" dataCaption="Values" tag="c290fb96-09c7-48f5-99f6-bb140de90187" updatedVersion="8" minRefreshableVersion="3" useAutoFormatting="1" itemPrintTitles="1" createdVersion="5" indent="0" outline="1" outlineData="1" multipleFieldFilters="0" chartFormat="25">
  <location ref="A24:B35" firstHeaderRow="1" firstDataRow="1" firstDataCol="1"/>
  <pivotFields count="3">
    <pivotField axis="axisRow" compact="0" allDrilled="1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2">
    <field x="1"/>
    <field x="0"/>
  </rowFields>
  <rowItems count="1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Sum of Amount" fld="2" baseField="0" baseItem="0"/>
  </dataFields>
  <chartFormats count="6"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9" showRowHeaders="1" showColHeaders="1" showRowStripes="0" showColStripes="0" showLastColumn="1"/>
  <rowHierarchiesUsage count="2">
    <rowHierarchyUsage hierarchyUsage="30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516" totalsRowShown="0">
  <autoFilter ref="A1:T51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0000000-0010-0000-0000-000001000000}" name="Transaction_ID"/>
    <tableColumn id="2" xr3:uid="{00000000-0010-0000-0000-000002000000}" name="User_ID"/>
    <tableColumn id="3" xr3:uid="{00000000-0010-0000-0000-000003000000}" name="Payment_Mode"/>
    <tableColumn id="4" xr3:uid="{00000000-0010-0000-0000-000004000000}" name="Amount" dataDxfId="39"/>
    <tableColumn id="5" xr3:uid="{00000000-0010-0000-0000-000005000000}" name="Transaction_Date" dataDxfId="38"/>
    <tableColumn id="6" xr3:uid="{00000000-0010-0000-0000-000006000000}" name="Transaction_Time"/>
    <tableColumn id="7" xr3:uid="{00000000-0010-0000-0000-000007000000}" name="City"/>
    <tableColumn id="8" xr3:uid="{00000000-0010-0000-0000-000008000000}" name="Device_Type"/>
    <tableColumn id="9" xr3:uid="{00000000-0010-0000-0000-000009000000}" name="User_Segment"/>
    <tableColumn id="22" xr3:uid="{00000000-0010-0000-0000-000016000000}" name="Fraud_Flag"/>
    <tableColumn id="11" xr3:uid="{00000000-0010-0000-0000-00000B000000}" name="Merchant_ID"/>
    <tableColumn id="12" xr3:uid="{00000000-0010-0000-0000-00000C000000}" name="Merchant_Category"/>
    <tableColumn id="13" xr3:uid="{00000000-0010-0000-0000-00000D000000}" name="Revenue"/>
    <tableColumn id="14" xr3:uid="{00000000-0010-0000-0000-00000E000000}" name="Loss"/>
    <tableColumn id="15" xr3:uid="{00000000-0010-0000-0000-00000F000000}" name="Transaction_Status"/>
    <tableColumn id="16" xr3:uid="{00000000-0010-0000-0000-000010000000}" name="Retry_Count"/>
    <tableColumn id="17" xr3:uid="{00000000-0010-0000-0000-000011000000}" name="Browser_Type"/>
    <tableColumn id="18" xr3:uid="{00000000-0010-0000-0000-000012000000}" name="IP_Country"/>
    <tableColumn id="19" xr3:uid="{00000000-0010-0000-0000-000013000000}" name="Amount_Deviation"/>
    <tableColumn id="20" xr3:uid="{00000000-0010-0000-0000-000014000000}" name="Risk_Scor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V501" totalsRowShown="0">
  <autoFilter ref="A1:V501" xr:uid="{00000000-0009-0000-0100-000002000000}"/>
  <tableColumns count="22">
    <tableColumn id="1" xr3:uid="{00000000-0010-0000-0100-000001000000}" name="Transaction_ID"/>
    <tableColumn id="2" xr3:uid="{00000000-0010-0000-0100-000002000000}" name="User_ID"/>
    <tableColumn id="3" xr3:uid="{00000000-0010-0000-0100-000003000000}" name="Payment_Mode"/>
    <tableColumn id="4" xr3:uid="{00000000-0010-0000-0100-000004000000}" name="Amount" dataDxfId="37"/>
    <tableColumn id="5" xr3:uid="{00000000-0010-0000-0100-000005000000}" name="Transaction_Date" dataDxfId="36"/>
    <tableColumn id="6" xr3:uid="{00000000-0010-0000-0100-000006000000}" name="Transaction_Time"/>
    <tableColumn id="24" xr3:uid="{00000000-0010-0000-0100-000018000000}" name="City"/>
    <tableColumn id="8" xr3:uid="{00000000-0010-0000-0100-000008000000}" name="Device_Type"/>
    <tableColumn id="25" xr3:uid="{00000000-0010-0000-0100-000019000000}" name="User_Segment"/>
    <tableColumn id="10" xr3:uid="{00000000-0010-0000-0100-00000A000000}" name="Fraud_Flag"/>
    <tableColumn id="11" xr3:uid="{00000000-0010-0000-0100-00000B000000}" name="Merchant_ID"/>
    <tableColumn id="28" xr3:uid="{00000000-0010-0000-0100-00001C000000}" name="Merchant_Category"/>
    <tableColumn id="13" xr3:uid="{00000000-0010-0000-0100-00000D000000}" name="Revenue" dataDxfId="35"/>
    <tableColumn id="14" xr3:uid="{00000000-0010-0000-0100-00000E000000}" name="Loss" dataDxfId="34"/>
    <tableColumn id="31" xr3:uid="{00000000-0010-0000-0100-00001F000000}" name="Transaction_Status"/>
    <tableColumn id="16" xr3:uid="{00000000-0010-0000-0100-000010000000}" name="Retry_Count"/>
    <tableColumn id="34" xr3:uid="{00000000-0010-0000-0100-000022000000}" name="Browser_Type"/>
    <tableColumn id="37" xr3:uid="{00000000-0010-0000-0100-000025000000}" name="IP_Country"/>
    <tableColumn id="19" xr3:uid="{00000000-0010-0000-0100-000013000000}" name="Amount_Deviation" dataDxfId="33"/>
    <tableColumn id="20" xr3:uid="{00000000-0010-0000-0100-000014000000}" name="Risk_Score" dataDxfId="32"/>
    <tableColumn id="7" xr3:uid="{00000000-0010-0000-0100-000007000000}" name="Risk_Category" dataDxfId="31">
      <calculatedColumnFormula>_xlfn.IFS(Table13[[#This Row],[Risk_Score]]&gt;80,"High",AND(Table13[[#This Row],[Risk_Score]]&lt;=80,Table13[[#This Row],[Risk_Score]]&gt;45),"Normal",Table13[[#This Row],[Risk_Score]]&lt;=45,"Low")</calculatedColumnFormula>
    </tableColumn>
    <tableColumn id="9" xr3:uid="{00000000-0010-0000-0100-000009000000}" name="Net_Profit" dataDxfId="30">
      <calculatedColumnFormula>IF(M2-N2&gt;0,M2-N2,0)</calculatedColumnFormula>
    </tableColumn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8E65F-B4C9-4A8F-A76E-90573BE085DE}" name="Table3" displayName="Table3" ref="A1:D21" totalsRowShown="0" headerRowDxfId="29" dataDxfId="28" tableBorderDxfId="27">
  <autoFilter ref="A1:D21" xr:uid="{5FC8E65F-B4C9-4A8F-A76E-90573BE085DE}"/>
  <sortState xmlns:xlrd2="http://schemas.microsoft.com/office/spreadsheetml/2017/richdata2" ref="A2:D21">
    <sortCondition sortBy="cellColor" ref="D1:D21" dxfId="22"/>
  </sortState>
  <tableColumns count="4">
    <tableColumn id="1" xr3:uid="{9B66C196-0E25-47C5-9512-E6133FCE142E}" name="Transaction_ID" dataDxfId="26"/>
    <tableColumn id="3" xr3:uid="{46D4178D-6388-4D6C-8817-3651678D41F5}" name="Payment_Mode" dataDxfId="25"/>
    <tableColumn id="8" xr3:uid="{BC2BB70F-8E66-466F-826F-9B9B01D67A7D}" name="Device_Type" dataDxfId="24"/>
    <tableColumn id="10" xr3:uid="{1B2250E2-DF6D-4973-91E6-11C4713652BD}" name="Fraud_Flag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195BBC-DBF3-4704-8DC8-EDEE9CF3F954}" name="Table6" displayName="Table6" ref="H1:M21" totalsRowShown="0" headerRowDxfId="19" dataDxfId="15" headerRowBorderDxfId="20" tableBorderDxfId="21">
  <autoFilter ref="H1:M21" xr:uid="{13195BBC-DBF3-4704-8DC8-EDEE9CF3F954}"/>
  <tableColumns count="6">
    <tableColumn id="1" xr3:uid="{CC336FA6-DD6F-4B82-863D-BB49B1206F08}" name="Transaction_ID" dataDxfId="2"/>
    <tableColumn id="2" xr3:uid="{456E38B9-B23A-409F-9A0C-76D3458645EC}" name="Amount" dataDxfId="0"/>
    <tableColumn id="3" xr3:uid="{E047407F-C58A-4D9F-B29B-7BF7445DBEC6}" name="City" dataDxfId="1"/>
    <tableColumn id="4" xr3:uid="{7A929FEA-DC67-4A71-A9CA-23DFB82D0D10}" name="User_Segment" dataDxfId="18"/>
    <tableColumn id="5" xr3:uid="{027AEABF-3001-4977-B3AC-247CA27D5F6D}" name="Merchant_Category" dataDxfId="17"/>
    <tableColumn id="6" xr3:uid="{97159169-ACFB-4D08-9C28-30C18C9B544D}" name="Browser_Type" dataDxfId="1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5117038483843"/>
  </sheetPr>
  <dimension ref="A1:T516"/>
  <sheetViews>
    <sheetView topLeftCell="I1" workbookViewId="0">
      <selection activeCell="J497" sqref="J497"/>
    </sheetView>
  </sheetViews>
  <sheetFormatPr defaultColWidth="9" defaultRowHeight="14.4"/>
  <cols>
    <col min="1" max="1" width="18.109375" customWidth="1"/>
    <col min="2" max="2" width="12" customWidth="1"/>
    <col min="3" max="3" width="19.109375" customWidth="1"/>
    <col min="4" max="4" width="12.33203125" customWidth="1"/>
    <col min="5" max="5" width="20.21875" customWidth="1"/>
    <col min="6" max="6" width="20.44140625" customWidth="1"/>
    <col min="7" max="7" width="10.6640625" customWidth="1"/>
    <col min="8" max="8" width="16.109375" customWidth="1"/>
    <col min="9" max="9" width="17.77734375" customWidth="1"/>
    <col min="10" max="10" width="14.5546875" customWidth="1"/>
    <col min="11" max="11" width="16.44140625" customWidth="1"/>
    <col min="12" max="12" width="22.44140625" customWidth="1"/>
    <col min="13" max="13" width="12.77734375" customWidth="1"/>
    <col min="14" max="14" width="12" customWidth="1"/>
    <col min="15" max="15" width="21.6640625" customWidth="1"/>
    <col min="16" max="16" width="16" customWidth="1"/>
    <col min="17" max="17" width="17.33203125" customWidth="1"/>
    <col min="18" max="18" width="14.88671875" customWidth="1"/>
    <col min="19" max="19" width="21.44140625" customWidth="1"/>
    <col min="20" max="20" width="14.44140625" customWidth="1"/>
  </cols>
  <sheetData>
    <row r="1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>
      <c r="A2" t="s">
        <v>20</v>
      </c>
      <c r="B2" t="s">
        <v>21</v>
      </c>
      <c r="C2" t="s">
        <v>22</v>
      </c>
      <c r="D2">
        <v>44384.278077423798</v>
      </c>
      <c r="E2" s="9">
        <v>45659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1122.0669688548401</v>
      </c>
      <c r="N2">
        <v>0</v>
      </c>
      <c r="O2" t="s">
        <v>30</v>
      </c>
      <c r="P2">
        <v>2</v>
      </c>
      <c r="Q2" t="s">
        <v>31</v>
      </c>
      <c r="R2" t="s">
        <v>32</v>
      </c>
      <c r="S2">
        <v>-2.9576365049768598</v>
      </c>
      <c r="T2">
        <v>64.782230482443595</v>
      </c>
    </row>
    <row r="3" spans="1:20">
      <c r="A3" t="s">
        <v>33</v>
      </c>
      <c r="B3" t="s">
        <v>34</v>
      </c>
      <c r="C3" t="s">
        <v>35</v>
      </c>
      <c r="D3">
        <v>34689.443051700597</v>
      </c>
      <c r="E3" s="9">
        <v>45659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>
        <v>1324.5209319114399</v>
      </c>
      <c r="N3">
        <v>0</v>
      </c>
      <c r="O3" t="s">
        <v>43</v>
      </c>
      <c r="P3">
        <v>3</v>
      </c>
      <c r="Q3" t="s">
        <v>44</v>
      </c>
      <c r="R3" t="s">
        <v>45</v>
      </c>
      <c r="S3">
        <v>19.934346402506499</v>
      </c>
      <c r="T3">
        <v>23.808521280711801</v>
      </c>
    </row>
    <row r="4" spans="1:20">
      <c r="A4" t="s">
        <v>46</v>
      </c>
      <c r="B4" t="s">
        <v>47</v>
      </c>
      <c r="C4" t="s">
        <v>48</v>
      </c>
      <c r="D4">
        <v>2388.4771935911799</v>
      </c>
      <c r="E4" s="9">
        <v>45660</v>
      </c>
      <c r="F4" t="s">
        <v>49</v>
      </c>
      <c r="G4" t="s">
        <v>50</v>
      </c>
      <c r="H4" t="s">
        <v>25</v>
      </c>
      <c r="I4" t="s">
        <v>51</v>
      </c>
      <c r="J4" t="s">
        <v>40</v>
      </c>
      <c r="K4" t="s">
        <v>52</v>
      </c>
      <c r="L4" t="s">
        <v>53</v>
      </c>
      <c r="M4">
        <v>1404.8073655079399</v>
      </c>
      <c r="N4">
        <v>0</v>
      </c>
      <c r="O4" t="s">
        <v>54</v>
      </c>
      <c r="P4">
        <v>4</v>
      </c>
      <c r="Q4" t="s">
        <v>55</v>
      </c>
      <c r="R4" t="s">
        <v>45</v>
      </c>
      <c r="S4">
        <v>-18.153070974532099</v>
      </c>
      <c r="T4">
        <v>10.4527887875694</v>
      </c>
    </row>
    <row r="5" spans="1:20">
      <c r="A5" t="s">
        <v>56</v>
      </c>
      <c r="B5" t="s">
        <v>57</v>
      </c>
      <c r="C5" t="s">
        <v>22</v>
      </c>
      <c r="D5">
        <v>9195.9655359503104</v>
      </c>
      <c r="E5" s="9">
        <v>45660</v>
      </c>
      <c r="F5" t="s">
        <v>58</v>
      </c>
      <c r="G5" t="s">
        <v>59</v>
      </c>
      <c r="H5" t="s">
        <v>38</v>
      </c>
      <c r="I5" t="s">
        <v>51</v>
      </c>
      <c r="J5" t="s">
        <v>60</v>
      </c>
      <c r="K5" t="s">
        <v>61</v>
      </c>
      <c r="L5" t="s">
        <v>53</v>
      </c>
      <c r="M5">
        <v>3491.1779577398302</v>
      </c>
      <c r="N5">
        <v>363.50926350706698</v>
      </c>
      <c r="O5" t="s">
        <v>62</v>
      </c>
      <c r="P5">
        <v>1</v>
      </c>
      <c r="Q5" t="s">
        <v>63</v>
      </c>
      <c r="R5" t="s">
        <v>64</v>
      </c>
      <c r="S5">
        <v>-14.2178293476642</v>
      </c>
      <c r="T5">
        <v>46.192520420573501</v>
      </c>
    </row>
    <row r="6" spans="1:20">
      <c r="A6" t="s">
        <v>65</v>
      </c>
      <c r="B6" t="s">
        <v>66</v>
      </c>
      <c r="C6" t="s">
        <v>35</v>
      </c>
      <c r="D6">
        <v>37110.178517010398</v>
      </c>
      <c r="E6" s="9">
        <v>45660</v>
      </c>
      <c r="F6" t="s">
        <v>67</v>
      </c>
      <c r="G6" t="s">
        <v>68</v>
      </c>
      <c r="H6" t="s">
        <v>69</v>
      </c>
      <c r="I6" t="s">
        <v>26</v>
      </c>
      <c r="J6" t="s">
        <v>60</v>
      </c>
      <c r="K6" t="s">
        <v>70</v>
      </c>
      <c r="L6" t="s">
        <v>29</v>
      </c>
      <c r="M6">
        <v>2009.0995143191301</v>
      </c>
      <c r="N6">
        <v>0</v>
      </c>
      <c r="O6" t="s">
        <v>30</v>
      </c>
      <c r="P6">
        <v>0</v>
      </c>
      <c r="Q6" t="s">
        <v>44</v>
      </c>
      <c r="R6" t="s">
        <v>45</v>
      </c>
      <c r="S6">
        <v>-25.136426167343799</v>
      </c>
      <c r="T6">
        <v>44.721374079378499</v>
      </c>
    </row>
    <row r="7" spans="1:20">
      <c r="A7" t="s">
        <v>71</v>
      </c>
      <c r="B7" t="s">
        <v>72</v>
      </c>
      <c r="C7" t="s">
        <v>35</v>
      </c>
      <c r="D7">
        <v>13568.5699973705</v>
      </c>
      <c r="E7" s="9">
        <v>45661</v>
      </c>
      <c r="F7" t="s">
        <v>73</v>
      </c>
      <c r="G7" t="s">
        <v>59</v>
      </c>
      <c r="H7" t="s">
        <v>74</v>
      </c>
      <c r="I7" t="s">
        <v>75</v>
      </c>
      <c r="J7" t="s">
        <v>60</v>
      </c>
      <c r="K7" t="s">
        <v>76</v>
      </c>
      <c r="L7" t="s">
        <v>53</v>
      </c>
      <c r="M7">
        <v>1468.0450018356901</v>
      </c>
      <c r="N7">
        <v>0</v>
      </c>
      <c r="O7" t="s">
        <v>43</v>
      </c>
      <c r="P7">
        <v>4</v>
      </c>
      <c r="R7" t="s">
        <v>32</v>
      </c>
      <c r="S7">
        <v>-13.665567449637299</v>
      </c>
      <c r="T7">
        <v>5.9480163108389599</v>
      </c>
    </row>
    <row r="8" spans="1:20">
      <c r="A8" t="s">
        <v>77</v>
      </c>
      <c r="B8" t="s">
        <v>78</v>
      </c>
      <c r="C8" t="s">
        <v>22</v>
      </c>
      <c r="D8">
        <v>23862.9137697718</v>
      </c>
      <c r="E8" s="9">
        <v>45661</v>
      </c>
      <c r="F8" t="s">
        <v>79</v>
      </c>
      <c r="G8" t="s">
        <v>68</v>
      </c>
      <c r="H8" t="s">
        <v>69</v>
      </c>
      <c r="I8" t="s">
        <v>26</v>
      </c>
      <c r="J8" t="s">
        <v>27</v>
      </c>
      <c r="K8" t="s">
        <v>80</v>
      </c>
      <c r="L8" t="s">
        <v>81</v>
      </c>
      <c r="M8">
        <v>2169.5105023425099</v>
      </c>
      <c r="N8">
        <v>488.22826471770497</v>
      </c>
      <c r="O8" t="s">
        <v>43</v>
      </c>
      <c r="P8">
        <v>1</v>
      </c>
      <c r="Q8" t="s">
        <v>44</v>
      </c>
      <c r="R8" t="s">
        <v>82</v>
      </c>
      <c r="S8">
        <v>-11.235533028696</v>
      </c>
      <c r="T8">
        <v>84.063264481912498</v>
      </c>
    </row>
    <row r="9" spans="1:20">
      <c r="A9" t="s">
        <v>83</v>
      </c>
      <c r="B9" t="s">
        <v>84</v>
      </c>
      <c r="C9" t="s">
        <v>85</v>
      </c>
      <c r="D9">
        <v>17191.9604332093</v>
      </c>
      <c r="E9" s="9">
        <v>45661</v>
      </c>
      <c r="F9" t="s">
        <v>86</v>
      </c>
      <c r="G9" t="s">
        <v>24</v>
      </c>
      <c r="H9" t="s">
        <v>69</v>
      </c>
      <c r="I9" t="s">
        <v>75</v>
      </c>
      <c r="J9" t="s">
        <v>87</v>
      </c>
      <c r="K9" t="s">
        <v>88</v>
      </c>
      <c r="L9" t="s">
        <v>53</v>
      </c>
      <c r="M9">
        <v>3519.6300568390998</v>
      </c>
      <c r="N9">
        <v>0</v>
      </c>
      <c r="O9" t="s">
        <v>54</v>
      </c>
      <c r="P9">
        <v>4</v>
      </c>
      <c r="Q9" t="s">
        <v>31</v>
      </c>
      <c r="R9" t="s">
        <v>64</v>
      </c>
      <c r="S9">
        <v>19.781741065023802</v>
      </c>
      <c r="T9">
        <v>72.999322464496402</v>
      </c>
    </row>
    <row r="10" spans="1:20">
      <c r="A10" t="s">
        <v>89</v>
      </c>
      <c r="B10" t="s">
        <v>90</v>
      </c>
      <c r="C10" t="s">
        <v>35</v>
      </c>
      <c r="D10">
        <v>11882.2150025585</v>
      </c>
      <c r="E10" s="9">
        <v>45662</v>
      </c>
      <c r="F10" t="s">
        <v>91</v>
      </c>
      <c r="G10" t="s">
        <v>92</v>
      </c>
      <c r="H10" t="s">
        <v>93</v>
      </c>
      <c r="I10" t="s">
        <v>26</v>
      </c>
      <c r="J10" t="s">
        <v>40</v>
      </c>
      <c r="K10" t="s">
        <v>94</v>
      </c>
      <c r="L10" t="s">
        <v>53</v>
      </c>
      <c r="M10">
        <v>4665.8201717695201</v>
      </c>
      <c r="N10">
        <v>0</v>
      </c>
      <c r="O10" t="s">
        <v>62</v>
      </c>
      <c r="P10">
        <v>1</v>
      </c>
      <c r="Q10" t="s">
        <v>95</v>
      </c>
      <c r="R10" t="s">
        <v>82</v>
      </c>
      <c r="S10">
        <v>-10.5176799445042</v>
      </c>
      <c r="T10">
        <v>92.950570536814894</v>
      </c>
    </row>
    <row r="11" spans="1:20">
      <c r="A11" t="s">
        <v>96</v>
      </c>
      <c r="B11" t="s">
        <v>97</v>
      </c>
      <c r="C11" t="s">
        <v>22</v>
      </c>
      <c r="D11">
        <v>20506.863336566101</v>
      </c>
      <c r="E11" s="9">
        <v>45664</v>
      </c>
      <c r="F11" t="s">
        <v>98</v>
      </c>
      <c r="G11" t="s">
        <v>50</v>
      </c>
      <c r="H11" t="s">
        <v>25</v>
      </c>
      <c r="I11" t="s">
        <v>99</v>
      </c>
      <c r="J11" t="s">
        <v>87</v>
      </c>
      <c r="K11" t="s">
        <v>100</v>
      </c>
      <c r="L11" t="s">
        <v>53</v>
      </c>
      <c r="M11">
        <v>4024.7574414800602</v>
      </c>
      <c r="N11">
        <v>0</v>
      </c>
      <c r="O11" t="s">
        <v>101</v>
      </c>
      <c r="P11">
        <v>3</v>
      </c>
      <c r="Q11" t="s">
        <v>31</v>
      </c>
      <c r="R11" t="s">
        <v>102</v>
      </c>
      <c r="S11">
        <v>-26.6251983410897</v>
      </c>
      <c r="T11">
        <v>3.5766243014935202</v>
      </c>
    </row>
    <row r="12" spans="1:20">
      <c r="A12" t="s">
        <v>103</v>
      </c>
      <c r="B12" t="s">
        <v>104</v>
      </c>
      <c r="C12" t="s">
        <v>48</v>
      </c>
      <c r="D12">
        <v>49269.828880862602</v>
      </c>
      <c r="E12" s="9">
        <v>45664</v>
      </c>
      <c r="F12" t="s">
        <v>105</v>
      </c>
      <c r="H12" t="s">
        <v>106</v>
      </c>
      <c r="I12" t="s">
        <v>26</v>
      </c>
      <c r="J12" t="s">
        <v>27</v>
      </c>
      <c r="K12" t="s">
        <v>107</v>
      </c>
      <c r="L12" t="s">
        <v>29</v>
      </c>
      <c r="M12">
        <v>2449.2131088347201</v>
      </c>
      <c r="N12">
        <v>0</v>
      </c>
      <c r="O12" t="s">
        <v>43</v>
      </c>
      <c r="P12">
        <v>0</v>
      </c>
      <c r="Q12" t="s">
        <v>63</v>
      </c>
      <c r="R12" t="s">
        <v>64</v>
      </c>
      <c r="S12">
        <v>2.6509889386081098</v>
      </c>
      <c r="T12">
        <v>1.8371654538104401</v>
      </c>
    </row>
    <row r="13" spans="1:20">
      <c r="A13" t="s">
        <v>108</v>
      </c>
      <c r="B13" t="s">
        <v>109</v>
      </c>
      <c r="C13" t="s">
        <v>22</v>
      </c>
      <c r="D13">
        <v>3269.2402965410702</v>
      </c>
      <c r="E13" s="9">
        <v>45664</v>
      </c>
      <c r="F13" t="s">
        <v>110</v>
      </c>
      <c r="G13" t="s">
        <v>92</v>
      </c>
      <c r="H13" t="s">
        <v>38</v>
      </c>
      <c r="I13" t="s">
        <v>75</v>
      </c>
      <c r="J13" t="s">
        <v>60</v>
      </c>
      <c r="K13" t="s">
        <v>111</v>
      </c>
      <c r="L13" t="s">
        <v>29</v>
      </c>
      <c r="M13">
        <v>731.26718527188905</v>
      </c>
      <c r="N13">
        <v>0</v>
      </c>
      <c r="O13" t="s">
        <v>101</v>
      </c>
      <c r="P13">
        <v>2</v>
      </c>
      <c r="Q13" t="s">
        <v>95</v>
      </c>
      <c r="R13" t="s">
        <v>32</v>
      </c>
      <c r="S13">
        <v>-14.5313475585997</v>
      </c>
      <c r="T13">
        <v>37.110609109953899</v>
      </c>
    </row>
    <row r="14" spans="1:20">
      <c r="A14" t="s">
        <v>112</v>
      </c>
      <c r="B14" t="s">
        <v>113</v>
      </c>
      <c r="C14" t="s">
        <v>48</v>
      </c>
      <c r="D14">
        <v>30344.483864686299</v>
      </c>
      <c r="E14" s="9">
        <v>45664</v>
      </c>
      <c r="F14" t="s">
        <v>114</v>
      </c>
      <c r="G14" t="s">
        <v>92</v>
      </c>
      <c r="H14" t="s">
        <v>38</v>
      </c>
      <c r="I14" t="s">
        <v>75</v>
      </c>
      <c r="J14" t="s">
        <v>60</v>
      </c>
      <c r="K14" t="s">
        <v>115</v>
      </c>
      <c r="L14" t="s">
        <v>81</v>
      </c>
      <c r="M14">
        <v>4393.3880266856904</v>
      </c>
      <c r="N14">
        <v>90.881798880597103</v>
      </c>
      <c r="O14" t="s">
        <v>30</v>
      </c>
      <c r="P14">
        <v>3</v>
      </c>
      <c r="Q14" t="s">
        <v>44</v>
      </c>
      <c r="R14" t="s">
        <v>82</v>
      </c>
      <c r="S14">
        <v>-3.2616719506702898</v>
      </c>
      <c r="T14">
        <v>64.803165733086203</v>
      </c>
    </row>
    <row r="15" spans="1:20">
      <c r="A15" t="s">
        <v>116</v>
      </c>
      <c r="B15" t="s">
        <v>117</v>
      </c>
      <c r="C15" t="s">
        <v>22</v>
      </c>
      <c r="D15">
        <v>23338.436103708798</v>
      </c>
      <c r="E15" s="9">
        <v>45665</v>
      </c>
      <c r="F15" t="s">
        <v>118</v>
      </c>
      <c r="G15" t="s">
        <v>24</v>
      </c>
      <c r="H15" t="s">
        <v>74</v>
      </c>
      <c r="I15" t="s">
        <v>26</v>
      </c>
      <c r="J15" t="s">
        <v>87</v>
      </c>
      <c r="K15" t="s">
        <v>119</v>
      </c>
      <c r="L15" t="s">
        <v>120</v>
      </c>
      <c r="N15">
        <v>37.639358325836803</v>
      </c>
      <c r="O15" t="s">
        <v>54</v>
      </c>
      <c r="P15">
        <v>2</v>
      </c>
      <c r="R15" t="s">
        <v>102</v>
      </c>
      <c r="S15">
        <v>20.4803831403629</v>
      </c>
      <c r="T15">
        <v>51.258390313250999</v>
      </c>
    </row>
    <row r="16" spans="1:20">
      <c r="A16" t="s">
        <v>121</v>
      </c>
      <c r="B16" t="s">
        <v>122</v>
      </c>
      <c r="C16" t="s">
        <v>35</v>
      </c>
      <c r="D16">
        <v>31983.5743281797</v>
      </c>
      <c r="E16" s="9">
        <v>45665</v>
      </c>
      <c r="F16" t="s">
        <v>123</v>
      </c>
      <c r="G16" t="s">
        <v>59</v>
      </c>
      <c r="H16" t="s">
        <v>106</v>
      </c>
      <c r="I16" t="s">
        <v>99</v>
      </c>
      <c r="J16" t="s">
        <v>40</v>
      </c>
      <c r="K16" t="s">
        <v>124</v>
      </c>
      <c r="L16" t="s">
        <v>81</v>
      </c>
      <c r="M16">
        <v>172.58614400194801</v>
      </c>
      <c r="N16">
        <v>0</v>
      </c>
      <c r="O16" t="s">
        <v>101</v>
      </c>
      <c r="P16">
        <v>0</v>
      </c>
      <c r="Q16" t="s">
        <v>31</v>
      </c>
      <c r="R16" t="s">
        <v>45</v>
      </c>
      <c r="S16">
        <v>19.292134673381199</v>
      </c>
      <c r="T16">
        <v>86.007351898979294</v>
      </c>
    </row>
    <row r="17" spans="1:20">
      <c r="A17" t="s">
        <v>125</v>
      </c>
      <c r="B17" t="s">
        <v>126</v>
      </c>
      <c r="C17" t="s">
        <v>35</v>
      </c>
      <c r="D17">
        <v>6742.5347365151601</v>
      </c>
      <c r="E17" s="9">
        <v>45666</v>
      </c>
      <c r="F17" t="s">
        <v>127</v>
      </c>
      <c r="G17" t="s">
        <v>68</v>
      </c>
      <c r="H17" t="s">
        <v>74</v>
      </c>
      <c r="I17" t="s">
        <v>51</v>
      </c>
      <c r="J17" t="s">
        <v>27</v>
      </c>
      <c r="K17" t="s">
        <v>128</v>
      </c>
      <c r="L17" t="s">
        <v>42</v>
      </c>
      <c r="M17">
        <v>752.87158379281902</v>
      </c>
      <c r="N17">
        <v>0</v>
      </c>
      <c r="O17" t="s">
        <v>43</v>
      </c>
      <c r="P17">
        <v>3</v>
      </c>
      <c r="R17" t="s">
        <v>32</v>
      </c>
      <c r="S17">
        <v>-1.71801093552939</v>
      </c>
      <c r="T17">
        <v>27.2285660708134</v>
      </c>
    </row>
    <row r="18" spans="1:20">
      <c r="A18" t="s">
        <v>129</v>
      </c>
      <c r="B18" t="s">
        <v>130</v>
      </c>
      <c r="C18" t="s">
        <v>35</v>
      </c>
      <c r="D18">
        <v>12293.222457686299</v>
      </c>
      <c r="E18" s="9">
        <v>45666</v>
      </c>
      <c r="F18" t="s">
        <v>131</v>
      </c>
      <c r="G18" t="s">
        <v>24</v>
      </c>
      <c r="H18" t="s">
        <v>69</v>
      </c>
      <c r="I18" t="s">
        <v>75</v>
      </c>
      <c r="J18" t="s">
        <v>60</v>
      </c>
      <c r="K18" t="s">
        <v>132</v>
      </c>
      <c r="L18" t="s">
        <v>81</v>
      </c>
      <c r="M18">
        <v>2396.3310164447998</v>
      </c>
      <c r="N18">
        <v>0</v>
      </c>
      <c r="O18" t="s">
        <v>43</v>
      </c>
      <c r="P18">
        <v>1</v>
      </c>
      <c r="Q18" t="s">
        <v>63</v>
      </c>
      <c r="R18" t="s">
        <v>133</v>
      </c>
      <c r="S18">
        <v>-23.789223179632099</v>
      </c>
      <c r="T18">
        <v>14.4579710239585</v>
      </c>
    </row>
    <row r="19" spans="1:20">
      <c r="A19" t="s">
        <v>134</v>
      </c>
      <c r="B19" t="s">
        <v>135</v>
      </c>
      <c r="C19" t="s">
        <v>85</v>
      </c>
      <c r="D19">
        <v>43045.537692747603</v>
      </c>
      <c r="E19" s="9">
        <v>45666</v>
      </c>
      <c r="F19" t="s">
        <v>136</v>
      </c>
      <c r="G19" t="s">
        <v>24</v>
      </c>
      <c r="I19" t="s">
        <v>75</v>
      </c>
      <c r="J19" t="s">
        <v>87</v>
      </c>
      <c r="K19" t="s">
        <v>137</v>
      </c>
      <c r="L19" t="s">
        <v>81</v>
      </c>
      <c r="M19">
        <v>1036.7601728823599</v>
      </c>
      <c r="N19">
        <v>0</v>
      </c>
      <c r="O19" t="s">
        <v>43</v>
      </c>
      <c r="P19">
        <v>2</v>
      </c>
      <c r="Q19" t="s">
        <v>55</v>
      </c>
      <c r="R19" t="s">
        <v>32</v>
      </c>
      <c r="S19">
        <v>-20.9673247162665</v>
      </c>
      <c r="T19">
        <v>78.168709776639702</v>
      </c>
    </row>
    <row r="20" spans="1:20">
      <c r="A20" t="s">
        <v>138</v>
      </c>
      <c r="B20" t="s">
        <v>139</v>
      </c>
      <c r="C20" t="s">
        <v>22</v>
      </c>
      <c r="D20">
        <v>45540.137776661199</v>
      </c>
      <c r="E20" s="9">
        <v>45666</v>
      </c>
      <c r="F20" t="s">
        <v>140</v>
      </c>
      <c r="G20" t="s">
        <v>141</v>
      </c>
      <c r="H20" t="s">
        <v>38</v>
      </c>
      <c r="I20" t="s">
        <v>26</v>
      </c>
      <c r="J20" t="s">
        <v>40</v>
      </c>
      <c r="K20" t="s">
        <v>142</v>
      </c>
      <c r="L20" t="s">
        <v>120</v>
      </c>
      <c r="M20">
        <v>1729.1404770393301</v>
      </c>
      <c r="N20">
        <v>0</v>
      </c>
      <c r="O20" t="s">
        <v>54</v>
      </c>
      <c r="P20">
        <v>0</v>
      </c>
      <c r="Q20" t="s">
        <v>63</v>
      </c>
      <c r="R20" t="s">
        <v>133</v>
      </c>
      <c r="S20">
        <v>6.6575699659352798</v>
      </c>
      <c r="T20">
        <v>26.124513245358202</v>
      </c>
    </row>
    <row r="21" spans="1:20">
      <c r="A21" t="s">
        <v>143</v>
      </c>
      <c r="B21" t="s">
        <v>144</v>
      </c>
      <c r="C21" t="s">
        <v>22</v>
      </c>
      <c r="D21">
        <v>17319.623128337102</v>
      </c>
      <c r="E21" s="9">
        <v>45668</v>
      </c>
      <c r="F21" t="s">
        <v>145</v>
      </c>
      <c r="G21" t="s">
        <v>59</v>
      </c>
      <c r="H21" t="s">
        <v>106</v>
      </c>
      <c r="I21" t="s">
        <v>39</v>
      </c>
      <c r="J21" t="s">
        <v>40</v>
      </c>
      <c r="K21" t="s">
        <v>146</v>
      </c>
      <c r="L21" t="s">
        <v>81</v>
      </c>
      <c r="M21">
        <v>3926.9165005505602</v>
      </c>
      <c r="N21">
        <v>204.591293729244</v>
      </c>
      <c r="O21" t="s">
        <v>62</v>
      </c>
      <c r="P21">
        <v>1</v>
      </c>
      <c r="Q21" t="s">
        <v>44</v>
      </c>
      <c r="R21" t="s">
        <v>82</v>
      </c>
      <c r="S21">
        <v>-10.8928819916517</v>
      </c>
      <c r="T21">
        <v>11.0172120253633</v>
      </c>
    </row>
    <row r="22" spans="1:20">
      <c r="A22" t="s">
        <v>147</v>
      </c>
      <c r="B22" t="s">
        <v>148</v>
      </c>
      <c r="C22" t="s">
        <v>85</v>
      </c>
      <c r="D22">
        <v>24106.288624540499</v>
      </c>
      <c r="E22" s="9">
        <v>45668</v>
      </c>
      <c r="F22" t="s">
        <v>149</v>
      </c>
      <c r="G22" t="s">
        <v>141</v>
      </c>
      <c r="H22" t="s">
        <v>106</v>
      </c>
      <c r="I22" t="s">
        <v>99</v>
      </c>
      <c r="J22" t="s">
        <v>87</v>
      </c>
      <c r="K22" t="s">
        <v>150</v>
      </c>
      <c r="L22" t="s">
        <v>81</v>
      </c>
      <c r="M22">
        <v>601.86405480197095</v>
      </c>
      <c r="N22">
        <v>0</v>
      </c>
      <c r="O22" t="s">
        <v>62</v>
      </c>
      <c r="P22">
        <v>3</v>
      </c>
      <c r="Q22" t="s">
        <v>63</v>
      </c>
      <c r="R22" t="s">
        <v>102</v>
      </c>
      <c r="S22">
        <v>6.9752424342487496</v>
      </c>
      <c r="T22">
        <v>10.8077493666388</v>
      </c>
    </row>
    <row r="23" spans="1:20">
      <c r="A23" t="s">
        <v>151</v>
      </c>
      <c r="B23" t="s">
        <v>152</v>
      </c>
      <c r="C23" t="s">
        <v>48</v>
      </c>
      <c r="D23">
        <v>6700.5829351539896</v>
      </c>
      <c r="E23" s="9">
        <v>45669</v>
      </c>
      <c r="F23" t="s">
        <v>153</v>
      </c>
      <c r="G23" t="s">
        <v>92</v>
      </c>
      <c r="H23" t="s">
        <v>38</v>
      </c>
      <c r="I23" t="s">
        <v>39</v>
      </c>
      <c r="J23" t="s">
        <v>27</v>
      </c>
      <c r="K23" t="s">
        <v>154</v>
      </c>
      <c r="L23" t="s">
        <v>155</v>
      </c>
      <c r="M23">
        <v>3110.5394538362002</v>
      </c>
      <c r="N23">
        <v>262.65913222536102</v>
      </c>
      <c r="O23" t="s">
        <v>30</v>
      </c>
      <c r="P23">
        <v>3</v>
      </c>
      <c r="Q23" t="s">
        <v>44</v>
      </c>
      <c r="R23" t="s">
        <v>32</v>
      </c>
      <c r="S23">
        <v>23.025720927481899</v>
      </c>
      <c r="T23">
        <v>65.976364045308401</v>
      </c>
    </row>
    <row r="24" spans="1:20">
      <c r="A24" t="s">
        <v>156</v>
      </c>
      <c r="B24" t="s">
        <v>157</v>
      </c>
      <c r="C24" t="s">
        <v>85</v>
      </c>
      <c r="D24">
        <v>30433.930250333498</v>
      </c>
      <c r="E24" s="9">
        <v>45669</v>
      </c>
      <c r="F24" t="s">
        <v>158</v>
      </c>
      <c r="G24" t="s">
        <v>141</v>
      </c>
      <c r="H24" t="s">
        <v>25</v>
      </c>
      <c r="I24" t="s">
        <v>99</v>
      </c>
      <c r="J24" t="s">
        <v>87</v>
      </c>
      <c r="K24" t="s">
        <v>159</v>
      </c>
      <c r="L24" t="s">
        <v>42</v>
      </c>
      <c r="M24">
        <v>2678.9920068707602</v>
      </c>
      <c r="N24">
        <v>0</v>
      </c>
      <c r="O24" t="s">
        <v>30</v>
      </c>
      <c r="P24">
        <v>4</v>
      </c>
      <c r="R24" t="s">
        <v>45</v>
      </c>
      <c r="S24">
        <v>-4.6476371865687103</v>
      </c>
      <c r="T24">
        <v>32.877428749259103</v>
      </c>
    </row>
    <row r="25" spans="1:20">
      <c r="A25" t="s">
        <v>160</v>
      </c>
      <c r="B25" t="s">
        <v>161</v>
      </c>
      <c r="C25" t="s">
        <v>35</v>
      </c>
      <c r="D25">
        <v>41274.120566970603</v>
      </c>
      <c r="E25" s="9">
        <v>45669</v>
      </c>
      <c r="F25" t="s">
        <v>162</v>
      </c>
      <c r="G25" t="s">
        <v>163</v>
      </c>
      <c r="H25" t="s">
        <v>74</v>
      </c>
      <c r="I25" t="s">
        <v>51</v>
      </c>
      <c r="J25" t="s">
        <v>27</v>
      </c>
      <c r="K25" t="s">
        <v>164</v>
      </c>
      <c r="L25" t="s">
        <v>29</v>
      </c>
      <c r="M25">
        <v>1663.11264594816</v>
      </c>
      <c r="N25">
        <v>0</v>
      </c>
      <c r="O25" t="s">
        <v>43</v>
      </c>
      <c r="P25">
        <v>2</v>
      </c>
      <c r="Q25" t="s">
        <v>63</v>
      </c>
      <c r="R25" t="s">
        <v>133</v>
      </c>
      <c r="S25">
        <v>21.396740173495601</v>
      </c>
      <c r="T25">
        <v>39.9598511620868</v>
      </c>
    </row>
    <row r="26" spans="1:20">
      <c r="A26" t="s">
        <v>165</v>
      </c>
      <c r="B26" t="s">
        <v>166</v>
      </c>
      <c r="C26" t="s">
        <v>48</v>
      </c>
      <c r="D26">
        <v>34591.9706947218</v>
      </c>
      <c r="E26" s="9">
        <v>45669</v>
      </c>
      <c r="F26" t="s">
        <v>167</v>
      </c>
      <c r="G26" t="s">
        <v>59</v>
      </c>
      <c r="H26" t="s">
        <v>38</v>
      </c>
      <c r="I26" t="s">
        <v>51</v>
      </c>
      <c r="J26" t="s">
        <v>40</v>
      </c>
      <c r="K26" t="s">
        <v>168</v>
      </c>
      <c r="L26" t="s">
        <v>120</v>
      </c>
      <c r="M26">
        <v>3350.32107279507</v>
      </c>
      <c r="N26">
        <v>33.027653911080002</v>
      </c>
      <c r="O26" t="s">
        <v>101</v>
      </c>
      <c r="P26">
        <v>3</v>
      </c>
      <c r="Q26" t="s">
        <v>44</v>
      </c>
      <c r="R26" t="s">
        <v>102</v>
      </c>
      <c r="S26">
        <v>21.5245437907985</v>
      </c>
      <c r="T26">
        <v>68.686649373490994</v>
      </c>
    </row>
    <row r="27" spans="1:20">
      <c r="A27" t="s">
        <v>169</v>
      </c>
      <c r="B27" t="s">
        <v>170</v>
      </c>
      <c r="C27" t="s">
        <v>35</v>
      </c>
      <c r="D27">
        <v>888888</v>
      </c>
      <c r="E27" s="9">
        <v>45669</v>
      </c>
      <c r="F27" t="s">
        <v>171</v>
      </c>
      <c r="G27" t="s">
        <v>172</v>
      </c>
      <c r="H27" t="s">
        <v>25</v>
      </c>
      <c r="I27" t="s">
        <v>39</v>
      </c>
      <c r="J27" t="s">
        <v>173</v>
      </c>
      <c r="K27" t="s">
        <v>174</v>
      </c>
      <c r="L27" t="s">
        <v>53</v>
      </c>
      <c r="M27">
        <v>261.561050006659</v>
      </c>
      <c r="N27">
        <v>40.723606445579598</v>
      </c>
      <c r="O27" t="s">
        <v>43</v>
      </c>
      <c r="P27">
        <v>2</v>
      </c>
      <c r="Q27" t="s">
        <v>95</v>
      </c>
      <c r="R27" t="s">
        <v>102</v>
      </c>
      <c r="S27">
        <v>-10.7560144593196</v>
      </c>
      <c r="T27">
        <v>7.0368107906029298</v>
      </c>
    </row>
    <row r="28" spans="1:20">
      <c r="A28" t="s">
        <v>175</v>
      </c>
      <c r="B28" t="s">
        <v>144</v>
      </c>
      <c r="C28" t="s">
        <v>85</v>
      </c>
      <c r="D28">
        <v>31724.552329636801</v>
      </c>
      <c r="E28" s="9">
        <v>45670</v>
      </c>
      <c r="F28" t="s">
        <v>176</v>
      </c>
      <c r="G28" t="s">
        <v>141</v>
      </c>
      <c r="H28" t="s">
        <v>106</v>
      </c>
      <c r="I28" t="s">
        <v>51</v>
      </c>
      <c r="J28" t="s">
        <v>173</v>
      </c>
      <c r="K28" t="s">
        <v>177</v>
      </c>
      <c r="L28" t="s">
        <v>42</v>
      </c>
      <c r="M28">
        <v>140.46159513135601</v>
      </c>
      <c r="N28">
        <v>433.85104895962002</v>
      </c>
      <c r="O28" t="s">
        <v>43</v>
      </c>
      <c r="P28">
        <v>2</v>
      </c>
      <c r="Q28" t="s">
        <v>44</v>
      </c>
      <c r="R28" t="s">
        <v>133</v>
      </c>
      <c r="S28">
        <v>3.2895477901983701</v>
      </c>
      <c r="T28">
        <v>67.890084223020693</v>
      </c>
    </row>
    <row r="29" spans="1:20">
      <c r="A29" t="s">
        <v>178</v>
      </c>
      <c r="B29" t="s">
        <v>179</v>
      </c>
      <c r="C29" t="s">
        <v>85</v>
      </c>
      <c r="D29">
        <v>45177.854250537697</v>
      </c>
      <c r="E29" s="9">
        <v>45671</v>
      </c>
      <c r="F29" t="s">
        <v>180</v>
      </c>
      <c r="G29" t="s">
        <v>181</v>
      </c>
      <c r="H29" t="s">
        <v>69</v>
      </c>
      <c r="I29" t="s">
        <v>99</v>
      </c>
      <c r="J29" t="s">
        <v>173</v>
      </c>
      <c r="K29" t="s">
        <v>182</v>
      </c>
      <c r="L29" t="s">
        <v>81</v>
      </c>
      <c r="M29">
        <v>3653.66067609118</v>
      </c>
      <c r="N29">
        <v>0</v>
      </c>
      <c r="O29" t="s">
        <v>43</v>
      </c>
      <c r="P29">
        <v>3</v>
      </c>
      <c r="Q29" t="s">
        <v>44</v>
      </c>
      <c r="R29" t="s">
        <v>82</v>
      </c>
      <c r="S29">
        <v>-6.4447349783333197</v>
      </c>
      <c r="T29">
        <v>15.3134800604404</v>
      </c>
    </row>
    <row r="30" spans="1:20">
      <c r="A30" t="s">
        <v>183</v>
      </c>
      <c r="B30" t="s">
        <v>184</v>
      </c>
      <c r="C30" t="s">
        <v>48</v>
      </c>
      <c r="D30">
        <v>21143.0263342088</v>
      </c>
      <c r="E30" s="9">
        <v>45671</v>
      </c>
      <c r="F30" t="s">
        <v>185</v>
      </c>
      <c r="G30" t="s">
        <v>37</v>
      </c>
      <c r="H30" t="s">
        <v>38</v>
      </c>
      <c r="I30" t="s">
        <v>26</v>
      </c>
      <c r="J30" t="s">
        <v>87</v>
      </c>
      <c r="K30" t="s">
        <v>186</v>
      </c>
      <c r="L30" t="s">
        <v>120</v>
      </c>
      <c r="M30">
        <v>2701.3907779084898</v>
      </c>
      <c r="N30">
        <v>0</v>
      </c>
      <c r="O30" t="s">
        <v>43</v>
      </c>
      <c r="P30">
        <v>4</v>
      </c>
      <c r="Q30" t="s">
        <v>55</v>
      </c>
      <c r="R30" t="s">
        <v>82</v>
      </c>
      <c r="S30">
        <v>27.469813048516599</v>
      </c>
      <c r="T30">
        <v>29.767371559284602</v>
      </c>
    </row>
    <row r="31" spans="1:20">
      <c r="A31" t="s">
        <v>187</v>
      </c>
      <c r="B31" t="s">
        <v>188</v>
      </c>
      <c r="C31" t="s">
        <v>48</v>
      </c>
      <c r="D31">
        <v>36333.430119185199</v>
      </c>
      <c r="E31" s="9">
        <v>45671</v>
      </c>
      <c r="F31" t="s">
        <v>189</v>
      </c>
      <c r="G31" t="s">
        <v>24</v>
      </c>
      <c r="H31" t="s">
        <v>74</v>
      </c>
      <c r="I31" t="s">
        <v>51</v>
      </c>
      <c r="J31" t="s">
        <v>87</v>
      </c>
      <c r="K31" t="s">
        <v>190</v>
      </c>
      <c r="L31" t="s">
        <v>155</v>
      </c>
      <c r="M31">
        <v>3418.3733394956498</v>
      </c>
      <c r="N31">
        <v>0</v>
      </c>
      <c r="O31" t="s">
        <v>62</v>
      </c>
      <c r="P31">
        <v>4</v>
      </c>
      <c r="Q31" t="s">
        <v>44</v>
      </c>
      <c r="R31" t="s">
        <v>64</v>
      </c>
      <c r="S31">
        <v>-1.08082879041564</v>
      </c>
      <c r="T31">
        <v>94.399590671061105</v>
      </c>
    </row>
    <row r="32" spans="1:20">
      <c r="A32" t="s">
        <v>178</v>
      </c>
      <c r="B32" t="s">
        <v>179</v>
      </c>
      <c r="C32" t="s">
        <v>85</v>
      </c>
      <c r="D32">
        <v>45177.854250537697</v>
      </c>
      <c r="E32" s="9">
        <v>45671</v>
      </c>
      <c r="F32" t="s">
        <v>180</v>
      </c>
      <c r="G32" t="s">
        <v>181</v>
      </c>
      <c r="H32" t="s">
        <v>69</v>
      </c>
      <c r="I32" t="s">
        <v>99</v>
      </c>
      <c r="J32" t="s">
        <v>173</v>
      </c>
      <c r="K32" t="s">
        <v>182</v>
      </c>
      <c r="L32" t="s">
        <v>81</v>
      </c>
      <c r="M32">
        <v>3653.66067609118</v>
      </c>
      <c r="N32">
        <v>0</v>
      </c>
      <c r="O32" t="s">
        <v>43</v>
      </c>
      <c r="P32">
        <v>3</v>
      </c>
      <c r="Q32" t="s">
        <v>44</v>
      </c>
      <c r="R32" t="s">
        <v>82</v>
      </c>
      <c r="S32">
        <v>-6.4447349783333197</v>
      </c>
      <c r="T32">
        <v>15.3134800604404</v>
      </c>
    </row>
    <row r="33" spans="1:20">
      <c r="A33" t="s">
        <v>191</v>
      </c>
      <c r="B33" t="s">
        <v>192</v>
      </c>
      <c r="C33" t="s">
        <v>35</v>
      </c>
      <c r="D33">
        <v>24958.442813630099</v>
      </c>
      <c r="E33" s="9">
        <v>45672</v>
      </c>
      <c r="F33" t="s">
        <v>193</v>
      </c>
      <c r="G33" t="s">
        <v>141</v>
      </c>
      <c r="H33" t="s">
        <v>69</v>
      </c>
      <c r="I33" t="s">
        <v>26</v>
      </c>
      <c r="J33" t="s">
        <v>173</v>
      </c>
      <c r="K33" t="s">
        <v>194</v>
      </c>
      <c r="L33" t="s">
        <v>120</v>
      </c>
      <c r="M33">
        <v>4827.7877108013899</v>
      </c>
      <c r="N33">
        <v>0</v>
      </c>
      <c r="O33" t="s">
        <v>43</v>
      </c>
      <c r="P33">
        <v>0</v>
      </c>
      <c r="Q33" t="s">
        <v>31</v>
      </c>
      <c r="R33" t="s">
        <v>64</v>
      </c>
      <c r="S33">
        <v>-18.527368935195501</v>
      </c>
      <c r="T33">
        <v>91.444172948733794</v>
      </c>
    </row>
    <row r="34" spans="1:20">
      <c r="A34" t="s">
        <v>195</v>
      </c>
      <c r="B34" t="s">
        <v>66</v>
      </c>
      <c r="C34" t="s">
        <v>35</v>
      </c>
      <c r="D34">
        <v>39046.735806549797</v>
      </c>
      <c r="E34" s="9">
        <v>45672</v>
      </c>
      <c r="F34" t="s">
        <v>196</v>
      </c>
      <c r="G34" t="s">
        <v>37</v>
      </c>
      <c r="H34" t="s">
        <v>69</v>
      </c>
      <c r="I34" t="s">
        <v>26</v>
      </c>
      <c r="J34" t="s">
        <v>60</v>
      </c>
      <c r="K34" t="s">
        <v>197</v>
      </c>
      <c r="L34" t="s">
        <v>42</v>
      </c>
      <c r="M34">
        <v>3808.5887329935199</v>
      </c>
      <c r="N34">
        <v>130.02402012621701</v>
      </c>
      <c r="O34" t="s">
        <v>62</v>
      </c>
      <c r="P34">
        <v>1</v>
      </c>
      <c r="Q34" t="s">
        <v>55</v>
      </c>
      <c r="R34" t="s">
        <v>102</v>
      </c>
      <c r="S34">
        <v>3.59962028781348</v>
      </c>
      <c r="T34">
        <v>70.778397836248203</v>
      </c>
    </row>
    <row r="35" spans="1:20">
      <c r="A35" t="s">
        <v>198</v>
      </c>
      <c r="B35" t="s">
        <v>199</v>
      </c>
      <c r="C35" t="s">
        <v>35</v>
      </c>
      <c r="D35">
        <v>8359.4734673277599</v>
      </c>
      <c r="E35" s="9">
        <v>45672</v>
      </c>
      <c r="F35" t="s">
        <v>200</v>
      </c>
      <c r="H35" t="s">
        <v>106</v>
      </c>
      <c r="I35" t="s">
        <v>75</v>
      </c>
      <c r="J35" t="s">
        <v>27</v>
      </c>
      <c r="K35" t="s">
        <v>201</v>
      </c>
      <c r="L35" t="s">
        <v>81</v>
      </c>
      <c r="M35">
        <v>2414.8235256777002</v>
      </c>
      <c r="N35">
        <v>0</v>
      </c>
      <c r="O35" t="s">
        <v>101</v>
      </c>
      <c r="P35">
        <v>2</v>
      </c>
      <c r="Q35" t="s">
        <v>95</v>
      </c>
      <c r="R35" t="s">
        <v>32</v>
      </c>
      <c r="S35">
        <v>21.338619848696801</v>
      </c>
      <c r="T35">
        <v>43.005534519127401</v>
      </c>
    </row>
    <row r="36" spans="1:20">
      <c r="A36" t="s">
        <v>202</v>
      </c>
      <c r="B36" t="s">
        <v>203</v>
      </c>
      <c r="C36" t="s">
        <v>35</v>
      </c>
      <c r="D36">
        <v>38902.353958387801</v>
      </c>
      <c r="E36" s="9">
        <v>45673</v>
      </c>
      <c r="F36" t="s">
        <v>204</v>
      </c>
      <c r="G36" t="s">
        <v>141</v>
      </c>
      <c r="H36" t="s">
        <v>69</v>
      </c>
      <c r="I36" t="s">
        <v>26</v>
      </c>
      <c r="J36" t="s">
        <v>60</v>
      </c>
      <c r="K36" t="s">
        <v>205</v>
      </c>
      <c r="L36" t="s">
        <v>155</v>
      </c>
      <c r="M36">
        <v>4089.5912595995901</v>
      </c>
      <c r="N36">
        <v>0</v>
      </c>
      <c r="O36" t="s">
        <v>43</v>
      </c>
      <c r="P36">
        <v>2</v>
      </c>
      <c r="Q36" t="s">
        <v>55</v>
      </c>
      <c r="R36" t="s">
        <v>82</v>
      </c>
      <c r="S36">
        <v>28.377698097122501</v>
      </c>
      <c r="T36">
        <v>70.671857704456002</v>
      </c>
    </row>
    <row r="37" spans="1:20">
      <c r="A37" t="s">
        <v>206</v>
      </c>
      <c r="B37" t="s">
        <v>207</v>
      </c>
      <c r="C37" t="s">
        <v>22</v>
      </c>
      <c r="D37">
        <v>48401.890895447199</v>
      </c>
      <c r="E37" s="9">
        <v>45673</v>
      </c>
      <c r="F37" t="s">
        <v>208</v>
      </c>
      <c r="G37" t="s">
        <v>172</v>
      </c>
      <c r="H37" t="s">
        <v>38</v>
      </c>
      <c r="I37" t="s">
        <v>39</v>
      </c>
      <c r="J37" t="s">
        <v>87</v>
      </c>
      <c r="K37" t="s">
        <v>209</v>
      </c>
      <c r="L37" t="s">
        <v>155</v>
      </c>
      <c r="M37">
        <v>778.77401833205897</v>
      </c>
      <c r="N37">
        <v>0</v>
      </c>
      <c r="O37" t="s">
        <v>43</v>
      </c>
      <c r="P37">
        <v>2</v>
      </c>
      <c r="R37" t="s">
        <v>102</v>
      </c>
      <c r="S37">
        <v>28.1664881479354</v>
      </c>
      <c r="T37">
        <v>80.574689217811994</v>
      </c>
    </row>
    <row r="38" spans="1:20">
      <c r="A38" t="s">
        <v>210</v>
      </c>
      <c r="B38" t="s">
        <v>211</v>
      </c>
      <c r="C38" t="s">
        <v>22</v>
      </c>
      <c r="D38">
        <v>35378.325016048599</v>
      </c>
      <c r="E38" s="9">
        <v>45674</v>
      </c>
      <c r="F38" t="s">
        <v>212</v>
      </c>
      <c r="G38" t="s">
        <v>59</v>
      </c>
      <c r="H38" t="s">
        <v>93</v>
      </c>
      <c r="I38" t="s">
        <v>51</v>
      </c>
      <c r="J38" t="s">
        <v>60</v>
      </c>
      <c r="K38" t="s">
        <v>213</v>
      </c>
      <c r="L38" t="s">
        <v>81</v>
      </c>
      <c r="M38">
        <v>3816.38558947397</v>
      </c>
      <c r="N38">
        <v>0</v>
      </c>
      <c r="O38" t="s">
        <v>62</v>
      </c>
      <c r="P38">
        <v>1</v>
      </c>
      <c r="Q38" t="s">
        <v>55</v>
      </c>
      <c r="R38" t="s">
        <v>133</v>
      </c>
      <c r="S38">
        <v>-22.804688464372202</v>
      </c>
      <c r="T38">
        <v>65.328954090136307</v>
      </c>
    </row>
    <row r="39" spans="1:20">
      <c r="A39" t="s">
        <v>214</v>
      </c>
      <c r="B39" t="s">
        <v>215</v>
      </c>
      <c r="C39" t="s">
        <v>35</v>
      </c>
      <c r="D39">
        <v>22652.2352048221</v>
      </c>
      <c r="E39" s="9">
        <v>45674</v>
      </c>
      <c r="F39" t="s">
        <v>216</v>
      </c>
      <c r="G39" t="s">
        <v>92</v>
      </c>
      <c r="H39" t="s">
        <v>74</v>
      </c>
      <c r="I39" t="s">
        <v>99</v>
      </c>
      <c r="J39" t="s">
        <v>27</v>
      </c>
      <c r="K39" t="s">
        <v>217</v>
      </c>
      <c r="L39" t="s">
        <v>42</v>
      </c>
      <c r="M39">
        <v>728.25350467978706</v>
      </c>
      <c r="N39">
        <v>0</v>
      </c>
      <c r="O39" t="s">
        <v>62</v>
      </c>
      <c r="P39">
        <v>3</v>
      </c>
      <c r="Q39" t="s">
        <v>31</v>
      </c>
      <c r="R39" t="s">
        <v>32</v>
      </c>
      <c r="S39">
        <v>8.5665930035918993</v>
      </c>
      <c r="T39">
        <v>93.395133858271805</v>
      </c>
    </row>
    <row r="40" spans="1:20">
      <c r="A40" t="s">
        <v>218</v>
      </c>
      <c r="B40" t="s">
        <v>219</v>
      </c>
      <c r="C40" t="s">
        <v>22</v>
      </c>
      <c r="D40">
        <v>39521.676583713597</v>
      </c>
      <c r="E40" s="9">
        <v>45675</v>
      </c>
      <c r="F40" t="s">
        <v>220</v>
      </c>
      <c r="G40" t="s">
        <v>24</v>
      </c>
      <c r="H40" t="s">
        <v>38</v>
      </c>
      <c r="I40" t="s">
        <v>99</v>
      </c>
      <c r="J40" t="s">
        <v>87</v>
      </c>
      <c r="K40" t="s">
        <v>221</v>
      </c>
      <c r="L40" t="s">
        <v>81</v>
      </c>
      <c r="M40">
        <v>664.33147018319801</v>
      </c>
      <c r="N40">
        <v>0</v>
      </c>
      <c r="O40" t="s">
        <v>43</v>
      </c>
      <c r="P40">
        <v>4</v>
      </c>
      <c r="Q40" t="s">
        <v>31</v>
      </c>
      <c r="R40" t="s">
        <v>32</v>
      </c>
      <c r="S40">
        <v>1.8417113858112799</v>
      </c>
      <c r="T40">
        <v>65.248472840615804</v>
      </c>
    </row>
    <row r="41" spans="1:20">
      <c r="A41" t="s">
        <v>222</v>
      </c>
      <c r="B41" t="s">
        <v>223</v>
      </c>
      <c r="C41" t="s">
        <v>35</v>
      </c>
      <c r="D41">
        <v>42092.330049471202</v>
      </c>
      <c r="E41" s="9">
        <v>45677</v>
      </c>
      <c r="F41" t="s">
        <v>224</v>
      </c>
      <c r="G41" t="s">
        <v>163</v>
      </c>
      <c r="H41" t="s">
        <v>25</v>
      </c>
      <c r="I41" t="s">
        <v>39</v>
      </c>
      <c r="J41" t="s">
        <v>27</v>
      </c>
      <c r="K41" t="s">
        <v>225</v>
      </c>
      <c r="L41" t="s">
        <v>155</v>
      </c>
      <c r="M41">
        <v>4190.8279092664698</v>
      </c>
      <c r="N41">
        <v>0</v>
      </c>
      <c r="O41" t="s">
        <v>30</v>
      </c>
      <c r="P41">
        <v>4</v>
      </c>
      <c r="Q41" t="s">
        <v>63</v>
      </c>
      <c r="R41" t="s">
        <v>64</v>
      </c>
      <c r="S41">
        <v>-21.082007065326898</v>
      </c>
      <c r="T41">
        <v>79.389565519451693</v>
      </c>
    </row>
    <row r="42" spans="1:20">
      <c r="A42" t="s">
        <v>226</v>
      </c>
      <c r="B42" t="s">
        <v>227</v>
      </c>
      <c r="C42" t="s">
        <v>48</v>
      </c>
      <c r="D42">
        <v>42237.5895644181</v>
      </c>
      <c r="E42" s="9">
        <v>45677</v>
      </c>
      <c r="F42" t="s">
        <v>228</v>
      </c>
      <c r="G42" t="s">
        <v>37</v>
      </c>
      <c r="H42" t="s">
        <v>106</v>
      </c>
      <c r="I42" t="s">
        <v>99</v>
      </c>
      <c r="J42" t="s">
        <v>60</v>
      </c>
      <c r="K42" t="s">
        <v>229</v>
      </c>
      <c r="L42" t="s">
        <v>42</v>
      </c>
      <c r="M42">
        <v>739.27188074084199</v>
      </c>
      <c r="N42">
        <v>0</v>
      </c>
      <c r="O42" t="s">
        <v>101</v>
      </c>
      <c r="P42">
        <v>0</v>
      </c>
      <c r="Q42" t="s">
        <v>31</v>
      </c>
      <c r="R42" t="s">
        <v>32</v>
      </c>
      <c r="S42">
        <v>-21.30404837343</v>
      </c>
      <c r="T42">
        <v>62.081880350589202</v>
      </c>
    </row>
    <row r="43" spans="1:20">
      <c r="A43" t="s">
        <v>230</v>
      </c>
      <c r="B43" t="s">
        <v>130</v>
      </c>
      <c r="C43" t="s">
        <v>48</v>
      </c>
      <c r="D43">
        <v>26112.903303937099</v>
      </c>
      <c r="E43" s="9">
        <v>45678</v>
      </c>
      <c r="F43" t="s">
        <v>231</v>
      </c>
      <c r="G43" t="s">
        <v>141</v>
      </c>
      <c r="H43" t="s">
        <v>25</v>
      </c>
      <c r="I43" t="s">
        <v>51</v>
      </c>
      <c r="J43" t="s">
        <v>87</v>
      </c>
      <c r="K43" t="s">
        <v>232</v>
      </c>
      <c r="L43" t="s">
        <v>81</v>
      </c>
      <c r="M43">
        <v>3619.60516891628</v>
      </c>
      <c r="N43">
        <v>0</v>
      </c>
      <c r="O43" t="s">
        <v>101</v>
      </c>
      <c r="P43">
        <v>2</v>
      </c>
      <c r="Q43" t="s">
        <v>55</v>
      </c>
      <c r="R43" t="s">
        <v>64</v>
      </c>
      <c r="S43">
        <v>10.5386438318933</v>
      </c>
      <c r="T43">
        <v>35.836253565782798</v>
      </c>
    </row>
    <row r="44" spans="1:20">
      <c r="A44" t="s">
        <v>233</v>
      </c>
      <c r="B44" t="s">
        <v>234</v>
      </c>
      <c r="C44" t="s">
        <v>22</v>
      </c>
      <c r="D44">
        <v>18784.3249490491</v>
      </c>
      <c r="E44" s="9">
        <v>45678</v>
      </c>
      <c r="F44" t="s">
        <v>235</v>
      </c>
      <c r="G44" t="s">
        <v>37</v>
      </c>
      <c r="H44" t="s">
        <v>106</v>
      </c>
      <c r="I44" t="s">
        <v>75</v>
      </c>
      <c r="J44" t="s">
        <v>173</v>
      </c>
      <c r="K44" t="s">
        <v>236</v>
      </c>
      <c r="L44" t="s">
        <v>42</v>
      </c>
      <c r="M44">
        <v>3513.0028384664702</v>
      </c>
      <c r="N44">
        <v>0</v>
      </c>
      <c r="O44" t="s">
        <v>101</v>
      </c>
      <c r="P44">
        <v>3</v>
      </c>
      <c r="Q44" t="s">
        <v>44</v>
      </c>
      <c r="R44" t="s">
        <v>45</v>
      </c>
      <c r="S44">
        <v>12.3594241777196</v>
      </c>
      <c r="T44">
        <v>88.190328476345996</v>
      </c>
    </row>
    <row r="45" spans="1:20">
      <c r="A45" t="s">
        <v>237</v>
      </c>
      <c r="B45" t="s">
        <v>207</v>
      </c>
      <c r="C45" t="s">
        <v>35</v>
      </c>
      <c r="D45">
        <v>5200.4119448374604</v>
      </c>
      <c r="E45" s="9">
        <v>45679</v>
      </c>
      <c r="F45" t="s">
        <v>238</v>
      </c>
      <c r="G45" t="s">
        <v>141</v>
      </c>
      <c r="H45" t="s">
        <v>74</v>
      </c>
      <c r="I45" t="s">
        <v>99</v>
      </c>
      <c r="J45" t="s">
        <v>40</v>
      </c>
      <c r="K45" t="s">
        <v>239</v>
      </c>
      <c r="L45" t="s">
        <v>53</v>
      </c>
      <c r="M45">
        <v>970.50946240921803</v>
      </c>
      <c r="N45">
        <v>0</v>
      </c>
      <c r="O45" t="s">
        <v>101</v>
      </c>
      <c r="P45">
        <v>3</v>
      </c>
      <c r="Q45" t="s">
        <v>63</v>
      </c>
      <c r="R45" t="s">
        <v>82</v>
      </c>
      <c r="S45">
        <v>-20.2697563717687</v>
      </c>
      <c r="T45">
        <v>83.655239116961397</v>
      </c>
    </row>
    <row r="46" spans="1:20">
      <c r="A46" t="s">
        <v>240</v>
      </c>
      <c r="B46" t="s">
        <v>241</v>
      </c>
      <c r="C46" t="s">
        <v>48</v>
      </c>
      <c r="D46">
        <v>25671.637028507899</v>
      </c>
      <c r="E46" s="9">
        <v>45679</v>
      </c>
      <c r="F46" t="s">
        <v>242</v>
      </c>
      <c r="G46" t="s">
        <v>24</v>
      </c>
      <c r="H46" t="s">
        <v>93</v>
      </c>
      <c r="I46" t="s">
        <v>51</v>
      </c>
      <c r="J46" t="s">
        <v>27</v>
      </c>
      <c r="K46" t="s">
        <v>243</v>
      </c>
      <c r="L46" t="s">
        <v>53</v>
      </c>
      <c r="M46">
        <v>2680.2163171758398</v>
      </c>
      <c r="N46">
        <v>0</v>
      </c>
      <c r="O46" t="s">
        <v>43</v>
      </c>
      <c r="P46">
        <v>1</v>
      </c>
      <c r="R46" t="s">
        <v>32</v>
      </c>
      <c r="S46">
        <v>13.528682040929199</v>
      </c>
      <c r="T46">
        <v>75.378060108641506</v>
      </c>
    </row>
    <row r="47" spans="1:20">
      <c r="A47" t="s">
        <v>244</v>
      </c>
      <c r="B47" t="s">
        <v>245</v>
      </c>
      <c r="C47" t="s">
        <v>48</v>
      </c>
      <c r="D47">
        <v>10306.7751991562</v>
      </c>
      <c r="E47" s="9">
        <v>45679</v>
      </c>
      <c r="F47" t="s">
        <v>246</v>
      </c>
      <c r="G47" t="s">
        <v>141</v>
      </c>
      <c r="H47" t="s">
        <v>38</v>
      </c>
      <c r="I47" t="s">
        <v>39</v>
      </c>
      <c r="J47" t="s">
        <v>87</v>
      </c>
      <c r="K47" t="s">
        <v>247</v>
      </c>
      <c r="L47" t="s">
        <v>29</v>
      </c>
      <c r="M47">
        <v>637.370041648967</v>
      </c>
      <c r="N47">
        <v>0</v>
      </c>
      <c r="O47" t="s">
        <v>54</v>
      </c>
      <c r="P47">
        <v>2</v>
      </c>
      <c r="Q47" t="s">
        <v>95</v>
      </c>
      <c r="R47" t="s">
        <v>32</v>
      </c>
      <c r="S47">
        <v>-16.045915544590301</v>
      </c>
      <c r="T47">
        <v>95.323717878123304</v>
      </c>
    </row>
    <row r="48" spans="1:20">
      <c r="A48" t="s">
        <v>248</v>
      </c>
      <c r="B48" t="s">
        <v>249</v>
      </c>
      <c r="C48" t="s">
        <v>48</v>
      </c>
      <c r="D48">
        <v>49547.380875223796</v>
      </c>
      <c r="E48" s="9">
        <v>45680</v>
      </c>
      <c r="F48" t="s">
        <v>250</v>
      </c>
      <c r="G48" t="s">
        <v>172</v>
      </c>
      <c r="H48" t="s">
        <v>106</v>
      </c>
      <c r="I48" t="s">
        <v>75</v>
      </c>
      <c r="J48" t="s">
        <v>173</v>
      </c>
      <c r="K48" t="s">
        <v>251</v>
      </c>
      <c r="L48" t="s">
        <v>53</v>
      </c>
      <c r="M48">
        <v>1637.5863960767899</v>
      </c>
      <c r="N48">
        <v>0</v>
      </c>
      <c r="O48" t="s">
        <v>101</v>
      </c>
      <c r="P48">
        <v>3</v>
      </c>
      <c r="Q48" t="s">
        <v>55</v>
      </c>
      <c r="R48" t="s">
        <v>64</v>
      </c>
      <c r="S48">
        <v>9.5921920097423392</v>
      </c>
      <c r="T48">
        <v>74.951641515678105</v>
      </c>
    </row>
    <row r="49" spans="1:20">
      <c r="A49" t="s">
        <v>252</v>
      </c>
      <c r="B49" t="s">
        <v>253</v>
      </c>
      <c r="C49" t="s">
        <v>35</v>
      </c>
      <c r="D49">
        <v>8359.1145396558895</v>
      </c>
      <c r="E49" s="9">
        <v>45681</v>
      </c>
      <c r="F49" t="s">
        <v>254</v>
      </c>
      <c r="G49" t="s">
        <v>141</v>
      </c>
      <c r="H49" t="s">
        <v>25</v>
      </c>
      <c r="I49" t="s">
        <v>26</v>
      </c>
      <c r="J49" t="s">
        <v>173</v>
      </c>
      <c r="K49" t="s">
        <v>255</v>
      </c>
      <c r="L49" t="s">
        <v>120</v>
      </c>
      <c r="M49">
        <v>4668.1352963647296</v>
      </c>
      <c r="N49">
        <v>128.73960824623501</v>
      </c>
      <c r="O49" t="s">
        <v>30</v>
      </c>
      <c r="P49">
        <v>2</v>
      </c>
      <c r="R49" t="s">
        <v>45</v>
      </c>
      <c r="S49">
        <v>-25.194629419730301</v>
      </c>
      <c r="T49">
        <v>82.553082334674897</v>
      </c>
    </row>
    <row r="50" spans="1:20">
      <c r="A50" t="s">
        <v>256</v>
      </c>
      <c r="B50" t="s">
        <v>257</v>
      </c>
      <c r="C50" t="s">
        <v>48</v>
      </c>
      <c r="D50">
        <v>6836.5637433182301</v>
      </c>
      <c r="E50" s="9">
        <v>45681</v>
      </c>
      <c r="F50" t="s">
        <v>258</v>
      </c>
      <c r="G50" t="s">
        <v>59</v>
      </c>
      <c r="H50" t="s">
        <v>74</v>
      </c>
      <c r="I50" t="s">
        <v>26</v>
      </c>
      <c r="J50" t="s">
        <v>173</v>
      </c>
      <c r="K50" t="s">
        <v>259</v>
      </c>
      <c r="L50" t="s">
        <v>42</v>
      </c>
      <c r="M50">
        <v>639.57735258974503</v>
      </c>
      <c r="N50">
        <v>445.416074144817</v>
      </c>
      <c r="O50" t="s">
        <v>101</v>
      </c>
      <c r="P50">
        <v>4</v>
      </c>
      <c r="Q50" t="s">
        <v>95</v>
      </c>
      <c r="R50" t="s">
        <v>102</v>
      </c>
      <c r="S50">
        <v>20.757915365912002</v>
      </c>
      <c r="T50">
        <v>77.655747178522006</v>
      </c>
    </row>
    <row r="51" spans="1:20">
      <c r="A51" t="s">
        <v>260</v>
      </c>
      <c r="B51" t="s">
        <v>261</v>
      </c>
      <c r="C51" t="s">
        <v>35</v>
      </c>
      <c r="D51">
        <v>16584.389215917599</v>
      </c>
      <c r="E51" s="9">
        <v>45682</v>
      </c>
      <c r="F51" t="s">
        <v>262</v>
      </c>
      <c r="G51" t="s">
        <v>181</v>
      </c>
      <c r="H51" t="s">
        <v>106</v>
      </c>
      <c r="I51" t="s">
        <v>75</v>
      </c>
      <c r="J51" t="s">
        <v>40</v>
      </c>
      <c r="K51" t="s">
        <v>263</v>
      </c>
      <c r="L51" t="s">
        <v>42</v>
      </c>
      <c r="N51">
        <v>457.549227245015</v>
      </c>
      <c r="O51" t="s">
        <v>30</v>
      </c>
      <c r="P51">
        <v>4</v>
      </c>
      <c r="Q51" t="s">
        <v>63</v>
      </c>
      <c r="R51" t="s">
        <v>82</v>
      </c>
      <c r="S51">
        <v>-23.9301713089475</v>
      </c>
      <c r="T51">
        <v>14.214085359791801</v>
      </c>
    </row>
    <row r="52" spans="1:20">
      <c r="A52" t="s">
        <v>264</v>
      </c>
      <c r="B52" t="s">
        <v>265</v>
      </c>
      <c r="C52" t="s">
        <v>22</v>
      </c>
      <c r="D52">
        <v>34190.8744366295</v>
      </c>
      <c r="E52" s="9">
        <v>45682</v>
      </c>
      <c r="F52" t="s">
        <v>266</v>
      </c>
      <c r="G52" t="s">
        <v>59</v>
      </c>
      <c r="H52" t="s">
        <v>93</v>
      </c>
      <c r="I52" t="s">
        <v>39</v>
      </c>
      <c r="J52" t="s">
        <v>60</v>
      </c>
      <c r="K52" t="s">
        <v>267</v>
      </c>
      <c r="L52" t="s">
        <v>155</v>
      </c>
      <c r="M52">
        <v>2579.3051780730598</v>
      </c>
      <c r="N52">
        <v>486.28411782486802</v>
      </c>
      <c r="O52" t="s">
        <v>43</v>
      </c>
      <c r="P52">
        <v>3</v>
      </c>
      <c r="R52" t="s">
        <v>133</v>
      </c>
      <c r="S52">
        <v>11.602914036891301</v>
      </c>
      <c r="T52">
        <v>91.329971160003396</v>
      </c>
    </row>
    <row r="53" spans="1:20">
      <c r="A53" t="s">
        <v>268</v>
      </c>
      <c r="B53" t="s">
        <v>269</v>
      </c>
      <c r="C53" t="s">
        <v>35</v>
      </c>
      <c r="D53">
        <v>43845.408147697097</v>
      </c>
      <c r="E53" s="9">
        <v>45683</v>
      </c>
      <c r="F53" t="s">
        <v>270</v>
      </c>
      <c r="G53" t="s">
        <v>172</v>
      </c>
      <c r="H53" t="s">
        <v>69</v>
      </c>
      <c r="I53" t="s">
        <v>99</v>
      </c>
      <c r="J53" t="s">
        <v>40</v>
      </c>
      <c r="K53" t="s">
        <v>271</v>
      </c>
      <c r="L53" t="s">
        <v>53</v>
      </c>
      <c r="M53">
        <v>3549.7257066493198</v>
      </c>
      <c r="N53">
        <v>0</v>
      </c>
      <c r="O53" t="s">
        <v>30</v>
      </c>
      <c r="P53">
        <v>0</v>
      </c>
      <c r="R53" t="s">
        <v>32</v>
      </c>
      <c r="S53">
        <v>25.4696569664432</v>
      </c>
      <c r="T53">
        <v>73.315302310658495</v>
      </c>
    </row>
    <row r="54" spans="1:20">
      <c r="A54" t="s">
        <v>272</v>
      </c>
      <c r="B54" t="s">
        <v>273</v>
      </c>
      <c r="C54" t="s">
        <v>48</v>
      </c>
      <c r="D54">
        <v>29991.565302388601</v>
      </c>
      <c r="E54" s="9">
        <v>45683</v>
      </c>
      <c r="F54" t="s">
        <v>274</v>
      </c>
      <c r="G54" t="s">
        <v>92</v>
      </c>
      <c r="H54" t="s">
        <v>69</v>
      </c>
      <c r="I54" t="s">
        <v>75</v>
      </c>
      <c r="J54" t="s">
        <v>173</v>
      </c>
      <c r="K54" t="s">
        <v>275</v>
      </c>
      <c r="L54" t="s">
        <v>155</v>
      </c>
      <c r="M54">
        <v>3784.95773371718</v>
      </c>
      <c r="N54">
        <v>0</v>
      </c>
      <c r="O54" t="s">
        <v>43</v>
      </c>
      <c r="P54">
        <v>1</v>
      </c>
      <c r="R54" t="s">
        <v>102</v>
      </c>
      <c r="S54">
        <v>27.634112179406099</v>
      </c>
      <c r="T54">
        <v>47.1083729483925</v>
      </c>
    </row>
    <row r="55" spans="1:20">
      <c r="A55" t="s">
        <v>276</v>
      </c>
      <c r="B55" t="s">
        <v>277</v>
      </c>
      <c r="C55" t="s">
        <v>48</v>
      </c>
      <c r="D55">
        <v>45945.651060811302</v>
      </c>
      <c r="E55" s="9">
        <v>45684</v>
      </c>
      <c r="F55" t="s">
        <v>278</v>
      </c>
      <c r="G55" t="s">
        <v>181</v>
      </c>
      <c r="H55" t="s">
        <v>69</v>
      </c>
      <c r="I55" t="s">
        <v>75</v>
      </c>
      <c r="J55" t="s">
        <v>27</v>
      </c>
      <c r="K55" t="s">
        <v>279</v>
      </c>
      <c r="L55" t="s">
        <v>29</v>
      </c>
      <c r="M55">
        <v>4756.5523665863402</v>
      </c>
      <c r="N55">
        <v>397.50576846423502</v>
      </c>
      <c r="O55" t="s">
        <v>43</v>
      </c>
      <c r="P55">
        <v>4</v>
      </c>
      <c r="Q55" t="s">
        <v>31</v>
      </c>
      <c r="R55" t="s">
        <v>32</v>
      </c>
      <c r="S55">
        <v>29.094885961014299</v>
      </c>
      <c r="T55">
        <v>51.230036091546701</v>
      </c>
    </row>
    <row r="56" spans="1:20">
      <c r="A56" t="s">
        <v>280</v>
      </c>
      <c r="B56" t="s">
        <v>281</v>
      </c>
      <c r="C56" t="s">
        <v>85</v>
      </c>
      <c r="D56">
        <v>39410.715446853203</v>
      </c>
      <c r="E56" s="9">
        <v>45684</v>
      </c>
      <c r="F56" t="s">
        <v>282</v>
      </c>
      <c r="G56" t="s">
        <v>68</v>
      </c>
      <c r="H56" t="s">
        <v>93</v>
      </c>
      <c r="I56" t="s">
        <v>39</v>
      </c>
      <c r="J56" t="s">
        <v>27</v>
      </c>
      <c r="K56" t="s">
        <v>283</v>
      </c>
      <c r="L56" t="s">
        <v>29</v>
      </c>
      <c r="M56">
        <v>4624.1612947861304</v>
      </c>
      <c r="N56">
        <v>433.99979594754501</v>
      </c>
      <c r="O56" t="s">
        <v>62</v>
      </c>
      <c r="P56">
        <v>3</v>
      </c>
      <c r="R56" t="s">
        <v>82</v>
      </c>
      <c r="S56">
        <v>-8.2339720117514492</v>
      </c>
      <c r="T56">
        <v>43.573435684330803</v>
      </c>
    </row>
    <row r="57" spans="1:20">
      <c r="A57" t="s">
        <v>284</v>
      </c>
      <c r="B57" t="s">
        <v>285</v>
      </c>
      <c r="C57" t="s">
        <v>85</v>
      </c>
      <c r="D57">
        <v>45930.890774471103</v>
      </c>
      <c r="E57" s="9">
        <v>45684</v>
      </c>
      <c r="F57" t="s">
        <v>286</v>
      </c>
      <c r="G57" t="s">
        <v>50</v>
      </c>
      <c r="H57" t="s">
        <v>106</v>
      </c>
      <c r="I57" t="s">
        <v>39</v>
      </c>
      <c r="J57" t="s">
        <v>27</v>
      </c>
      <c r="K57" t="s">
        <v>287</v>
      </c>
      <c r="L57" t="s">
        <v>120</v>
      </c>
      <c r="M57">
        <v>2782.08498724931</v>
      </c>
      <c r="N57">
        <v>56.198513588006499</v>
      </c>
      <c r="O57" t="s">
        <v>54</v>
      </c>
      <c r="P57">
        <v>3</v>
      </c>
      <c r="R57" t="s">
        <v>32</v>
      </c>
      <c r="S57">
        <v>7.1361097658060304</v>
      </c>
      <c r="T57">
        <v>49.415760355180403</v>
      </c>
    </row>
    <row r="58" spans="1:20">
      <c r="A58" t="s">
        <v>288</v>
      </c>
      <c r="B58" t="s">
        <v>289</v>
      </c>
      <c r="C58" t="s">
        <v>35</v>
      </c>
      <c r="D58">
        <v>4641.0043434613799</v>
      </c>
      <c r="E58" s="9">
        <v>45686</v>
      </c>
      <c r="F58" t="s">
        <v>290</v>
      </c>
      <c r="G58" t="s">
        <v>59</v>
      </c>
      <c r="H58" t="s">
        <v>93</v>
      </c>
      <c r="I58" t="s">
        <v>26</v>
      </c>
      <c r="J58" t="s">
        <v>87</v>
      </c>
      <c r="K58" t="s">
        <v>291</v>
      </c>
      <c r="L58" t="s">
        <v>81</v>
      </c>
      <c r="M58">
        <v>3225.7644050907202</v>
      </c>
      <c r="N58">
        <v>133.39727471691501</v>
      </c>
      <c r="O58" t="s">
        <v>30</v>
      </c>
      <c r="P58">
        <v>1</v>
      </c>
      <c r="Q58" t="s">
        <v>44</v>
      </c>
      <c r="R58" t="s">
        <v>45</v>
      </c>
      <c r="S58">
        <v>5.0355923518644801</v>
      </c>
      <c r="T58">
        <v>34.728766615267503</v>
      </c>
    </row>
    <row r="59" spans="1:20">
      <c r="A59" t="s">
        <v>292</v>
      </c>
      <c r="B59" t="s">
        <v>293</v>
      </c>
      <c r="D59">
        <v>29368.118189571898</v>
      </c>
      <c r="E59" s="9">
        <v>45686</v>
      </c>
      <c r="F59" t="s">
        <v>294</v>
      </c>
      <c r="G59" t="s">
        <v>181</v>
      </c>
      <c r="H59" t="s">
        <v>74</v>
      </c>
      <c r="I59" t="s">
        <v>51</v>
      </c>
      <c r="J59" t="s">
        <v>27</v>
      </c>
      <c r="K59" t="s">
        <v>295</v>
      </c>
      <c r="L59" t="s">
        <v>120</v>
      </c>
      <c r="M59">
        <v>2339.8380581705101</v>
      </c>
      <c r="N59">
        <v>112.580512107966</v>
      </c>
      <c r="O59" t="s">
        <v>101</v>
      </c>
      <c r="P59">
        <v>4</v>
      </c>
      <c r="Q59" t="s">
        <v>44</v>
      </c>
      <c r="R59" t="s">
        <v>45</v>
      </c>
      <c r="S59">
        <v>26.613188738964599</v>
      </c>
      <c r="T59">
        <v>9.1984510670799899</v>
      </c>
    </row>
    <row r="60" spans="1:20">
      <c r="A60" t="s">
        <v>296</v>
      </c>
      <c r="B60" t="s">
        <v>269</v>
      </c>
      <c r="C60" t="s">
        <v>85</v>
      </c>
      <c r="D60">
        <v>38616.910831852401</v>
      </c>
      <c r="E60" s="9">
        <v>45686</v>
      </c>
      <c r="F60" t="s">
        <v>297</v>
      </c>
      <c r="G60" t="s">
        <v>163</v>
      </c>
      <c r="H60" t="s">
        <v>69</v>
      </c>
      <c r="I60" t="s">
        <v>99</v>
      </c>
      <c r="J60" t="s">
        <v>40</v>
      </c>
      <c r="K60" t="s">
        <v>298</v>
      </c>
      <c r="L60" t="s">
        <v>155</v>
      </c>
      <c r="M60">
        <v>4904.9293368021899</v>
      </c>
      <c r="N60">
        <v>146.32754883370399</v>
      </c>
      <c r="O60" t="s">
        <v>43</v>
      </c>
      <c r="P60">
        <v>2</v>
      </c>
      <c r="Q60" t="s">
        <v>63</v>
      </c>
      <c r="R60" t="s">
        <v>133</v>
      </c>
      <c r="S60">
        <v>-25.157492748360799</v>
      </c>
      <c r="T60">
        <v>52.8226607727157</v>
      </c>
    </row>
    <row r="61" spans="1:20">
      <c r="A61" t="s">
        <v>299</v>
      </c>
      <c r="B61" t="s">
        <v>300</v>
      </c>
      <c r="C61" t="s">
        <v>85</v>
      </c>
      <c r="D61">
        <v>46653.609548287699</v>
      </c>
      <c r="E61" s="9">
        <v>45688</v>
      </c>
      <c r="F61" t="s">
        <v>301</v>
      </c>
      <c r="G61" t="s">
        <v>59</v>
      </c>
      <c r="H61" t="s">
        <v>25</v>
      </c>
      <c r="I61" t="s">
        <v>99</v>
      </c>
      <c r="J61" t="s">
        <v>27</v>
      </c>
      <c r="K61" t="s">
        <v>302</v>
      </c>
      <c r="L61" t="s">
        <v>42</v>
      </c>
      <c r="M61">
        <v>4049.93569472431</v>
      </c>
      <c r="N61">
        <v>129.05382158670699</v>
      </c>
      <c r="O61" t="s">
        <v>30</v>
      </c>
      <c r="P61">
        <v>3</v>
      </c>
      <c r="Q61" t="s">
        <v>63</v>
      </c>
      <c r="R61" t="s">
        <v>45</v>
      </c>
      <c r="S61">
        <v>-25.696095731105501</v>
      </c>
      <c r="T61">
        <v>22.980634142266499</v>
      </c>
    </row>
    <row r="62" spans="1:20">
      <c r="A62" t="s">
        <v>303</v>
      </c>
      <c r="B62" t="s">
        <v>304</v>
      </c>
      <c r="C62" t="s">
        <v>35</v>
      </c>
      <c r="D62">
        <v>26769.3489737366</v>
      </c>
      <c r="E62" s="9">
        <v>45689</v>
      </c>
      <c r="F62" t="s">
        <v>305</v>
      </c>
      <c r="G62" t="s">
        <v>163</v>
      </c>
      <c r="H62" t="s">
        <v>93</v>
      </c>
      <c r="I62" t="s">
        <v>75</v>
      </c>
      <c r="J62" t="s">
        <v>27</v>
      </c>
      <c r="K62" t="s">
        <v>306</v>
      </c>
      <c r="L62" t="s">
        <v>42</v>
      </c>
      <c r="M62">
        <v>1747.0528757869799</v>
      </c>
      <c r="N62">
        <v>0</v>
      </c>
      <c r="O62" t="s">
        <v>30</v>
      </c>
      <c r="P62">
        <v>2</v>
      </c>
      <c r="Q62" t="s">
        <v>95</v>
      </c>
      <c r="R62" t="s">
        <v>64</v>
      </c>
      <c r="S62">
        <v>-23.029165544754701</v>
      </c>
      <c r="T62">
        <v>64.357622273982003</v>
      </c>
    </row>
    <row r="63" spans="1:20">
      <c r="A63" t="s">
        <v>307</v>
      </c>
      <c r="B63" t="s">
        <v>308</v>
      </c>
      <c r="C63" t="s">
        <v>35</v>
      </c>
      <c r="D63">
        <v>708.93330867042096</v>
      </c>
      <c r="E63" s="9">
        <v>45690</v>
      </c>
      <c r="F63" t="s">
        <v>309</v>
      </c>
      <c r="G63" t="s">
        <v>24</v>
      </c>
      <c r="H63" t="s">
        <v>106</v>
      </c>
      <c r="I63" t="s">
        <v>51</v>
      </c>
      <c r="J63" t="s">
        <v>60</v>
      </c>
      <c r="K63" t="s">
        <v>310</v>
      </c>
      <c r="L63" t="s">
        <v>155</v>
      </c>
      <c r="M63">
        <v>3049.3346673005199</v>
      </c>
      <c r="N63">
        <v>0</v>
      </c>
      <c r="O63" t="s">
        <v>43</v>
      </c>
      <c r="P63">
        <v>3</v>
      </c>
      <c r="Q63" t="s">
        <v>44</v>
      </c>
      <c r="R63" t="s">
        <v>82</v>
      </c>
      <c r="S63">
        <v>29.566259190764001</v>
      </c>
      <c r="T63">
        <v>66.187838804469095</v>
      </c>
    </row>
    <row r="64" spans="1:20">
      <c r="A64" t="s">
        <v>311</v>
      </c>
      <c r="B64" t="s">
        <v>312</v>
      </c>
      <c r="C64" t="s">
        <v>85</v>
      </c>
      <c r="D64">
        <v>21084.735355387202</v>
      </c>
      <c r="E64" s="9">
        <v>45691</v>
      </c>
      <c r="F64" t="s">
        <v>313</v>
      </c>
      <c r="G64" t="s">
        <v>37</v>
      </c>
      <c r="H64" t="s">
        <v>38</v>
      </c>
      <c r="I64" t="s">
        <v>75</v>
      </c>
      <c r="J64" t="s">
        <v>173</v>
      </c>
      <c r="K64" t="s">
        <v>314</v>
      </c>
      <c r="L64" t="s">
        <v>81</v>
      </c>
      <c r="M64">
        <v>83.732754605634199</v>
      </c>
      <c r="N64">
        <v>0</v>
      </c>
      <c r="O64" t="s">
        <v>54</v>
      </c>
      <c r="P64">
        <v>0</v>
      </c>
      <c r="R64" t="s">
        <v>102</v>
      </c>
      <c r="S64">
        <v>-20.492853589154201</v>
      </c>
      <c r="T64">
        <v>47.287932221054497</v>
      </c>
    </row>
    <row r="65" spans="1:20">
      <c r="A65" t="s">
        <v>315</v>
      </c>
      <c r="B65" t="s">
        <v>241</v>
      </c>
      <c r="C65" t="s">
        <v>22</v>
      </c>
      <c r="D65">
        <v>3505.66029716917</v>
      </c>
      <c r="E65" s="9">
        <v>45692</v>
      </c>
      <c r="F65" t="s">
        <v>316</v>
      </c>
      <c r="G65" t="s">
        <v>37</v>
      </c>
      <c r="H65" t="s">
        <v>38</v>
      </c>
      <c r="I65" t="s">
        <v>51</v>
      </c>
      <c r="J65" t="s">
        <v>40</v>
      </c>
      <c r="K65" t="s">
        <v>317</v>
      </c>
      <c r="L65" t="s">
        <v>155</v>
      </c>
      <c r="M65">
        <v>1074.6183261630399</v>
      </c>
      <c r="N65">
        <v>0</v>
      </c>
      <c r="O65" t="s">
        <v>101</v>
      </c>
      <c r="P65">
        <v>0</v>
      </c>
      <c r="Q65" t="s">
        <v>55</v>
      </c>
      <c r="R65" t="s">
        <v>133</v>
      </c>
      <c r="S65">
        <v>17.035715307168001</v>
      </c>
      <c r="T65">
        <v>72.294342438944696</v>
      </c>
    </row>
    <row r="66" spans="1:20">
      <c r="A66" t="s">
        <v>318</v>
      </c>
      <c r="B66" t="s">
        <v>319</v>
      </c>
      <c r="C66" t="s">
        <v>85</v>
      </c>
      <c r="D66">
        <v>34716.508609426601</v>
      </c>
      <c r="E66" s="9">
        <v>45694</v>
      </c>
      <c r="F66" t="s">
        <v>320</v>
      </c>
      <c r="G66" t="s">
        <v>50</v>
      </c>
      <c r="H66" t="s">
        <v>38</v>
      </c>
      <c r="I66" t="s">
        <v>26</v>
      </c>
      <c r="J66" t="s">
        <v>60</v>
      </c>
      <c r="K66" t="s">
        <v>321</v>
      </c>
      <c r="L66" t="s">
        <v>81</v>
      </c>
      <c r="M66">
        <v>1607.4130992292301</v>
      </c>
      <c r="N66">
        <v>0</v>
      </c>
      <c r="O66" t="s">
        <v>54</v>
      </c>
      <c r="P66">
        <v>1</v>
      </c>
      <c r="R66" t="s">
        <v>45</v>
      </c>
      <c r="S66">
        <v>-20.912542655975098</v>
      </c>
      <c r="T66">
        <v>23.922321366585798</v>
      </c>
    </row>
    <row r="67" spans="1:20">
      <c r="A67" t="s">
        <v>322</v>
      </c>
      <c r="B67" t="s">
        <v>323</v>
      </c>
      <c r="C67" t="s">
        <v>48</v>
      </c>
      <c r="D67">
        <v>555555</v>
      </c>
      <c r="E67" s="9">
        <v>45694</v>
      </c>
      <c r="F67" t="s">
        <v>324</v>
      </c>
      <c r="G67" t="s">
        <v>172</v>
      </c>
      <c r="H67" t="s">
        <v>38</v>
      </c>
      <c r="I67" t="s">
        <v>51</v>
      </c>
      <c r="J67" t="s">
        <v>40</v>
      </c>
      <c r="K67" t="s">
        <v>325</v>
      </c>
      <c r="L67" t="s">
        <v>29</v>
      </c>
      <c r="M67">
        <v>933.15967798930399</v>
      </c>
      <c r="N67">
        <v>157.834240582033</v>
      </c>
      <c r="O67" t="s">
        <v>62</v>
      </c>
      <c r="P67">
        <v>0</v>
      </c>
      <c r="R67" t="s">
        <v>32</v>
      </c>
      <c r="S67">
        <v>-16.5378494580908</v>
      </c>
      <c r="T67">
        <v>67.285503780969094</v>
      </c>
    </row>
    <row r="68" spans="1:20">
      <c r="A68" t="s">
        <v>326</v>
      </c>
      <c r="B68" t="s">
        <v>241</v>
      </c>
      <c r="C68" t="s">
        <v>85</v>
      </c>
      <c r="D68">
        <v>2877.1091189130698</v>
      </c>
      <c r="E68" s="9">
        <v>45694</v>
      </c>
      <c r="F68" t="s">
        <v>327</v>
      </c>
      <c r="G68" t="s">
        <v>24</v>
      </c>
      <c r="H68" t="s">
        <v>69</v>
      </c>
      <c r="I68" t="s">
        <v>39</v>
      </c>
      <c r="J68" t="s">
        <v>60</v>
      </c>
      <c r="K68" t="s">
        <v>328</v>
      </c>
      <c r="L68" t="s">
        <v>120</v>
      </c>
      <c r="M68">
        <v>1420.5063489854599</v>
      </c>
      <c r="N68">
        <v>0</v>
      </c>
      <c r="O68" t="s">
        <v>62</v>
      </c>
      <c r="P68">
        <v>2</v>
      </c>
      <c r="Q68" t="s">
        <v>63</v>
      </c>
      <c r="R68" t="s">
        <v>45</v>
      </c>
      <c r="S68">
        <v>2.7834280327041601</v>
      </c>
      <c r="T68">
        <v>42.1554248218034</v>
      </c>
    </row>
    <row r="69" spans="1:20">
      <c r="A69" t="s">
        <v>329</v>
      </c>
      <c r="B69" t="s">
        <v>330</v>
      </c>
      <c r="C69" t="s">
        <v>22</v>
      </c>
      <c r="D69">
        <v>18331.305301735501</v>
      </c>
      <c r="E69" s="9">
        <v>45695</v>
      </c>
      <c r="F69" t="s">
        <v>331</v>
      </c>
      <c r="G69" t="s">
        <v>172</v>
      </c>
      <c r="H69" t="s">
        <v>93</v>
      </c>
      <c r="I69" t="s">
        <v>26</v>
      </c>
      <c r="J69" t="s">
        <v>40</v>
      </c>
      <c r="K69" t="s">
        <v>332</v>
      </c>
      <c r="M69">
        <v>4097.2357226072099</v>
      </c>
      <c r="N69">
        <v>0</v>
      </c>
      <c r="O69" t="s">
        <v>43</v>
      </c>
      <c r="P69">
        <v>2</v>
      </c>
      <c r="Q69" t="s">
        <v>44</v>
      </c>
      <c r="R69" t="s">
        <v>82</v>
      </c>
      <c r="S69">
        <v>-3.6789178260123898</v>
      </c>
      <c r="T69">
        <v>17.740947012118198</v>
      </c>
    </row>
    <row r="70" spans="1:20">
      <c r="A70" t="s">
        <v>333</v>
      </c>
      <c r="B70" t="s">
        <v>334</v>
      </c>
      <c r="C70" t="s">
        <v>22</v>
      </c>
      <c r="D70">
        <v>1207.0186273120501</v>
      </c>
      <c r="E70" s="9">
        <v>45696</v>
      </c>
      <c r="F70" t="s">
        <v>335</v>
      </c>
      <c r="G70" t="s">
        <v>172</v>
      </c>
      <c r="H70" t="s">
        <v>106</v>
      </c>
      <c r="I70" t="s">
        <v>26</v>
      </c>
      <c r="J70" t="s">
        <v>60</v>
      </c>
      <c r="K70" t="s">
        <v>336</v>
      </c>
      <c r="L70" t="s">
        <v>29</v>
      </c>
      <c r="M70">
        <v>953.16730122982597</v>
      </c>
      <c r="N70">
        <v>195.45871342058101</v>
      </c>
      <c r="O70" t="s">
        <v>30</v>
      </c>
      <c r="P70">
        <v>3</v>
      </c>
      <c r="Q70" t="s">
        <v>63</v>
      </c>
      <c r="R70" t="s">
        <v>32</v>
      </c>
      <c r="S70">
        <v>29.769821590215798</v>
      </c>
      <c r="T70">
        <v>31.254365223672199</v>
      </c>
    </row>
    <row r="71" spans="1:20">
      <c r="A71" t="s">
        <v>337</v>
      </c>
      <c r="B71" t="s">
        <v>338</v>
      </c>
      <c r="C71" t="s">
        <v>85</v>
      </c>
      <c r="D71">
        <v>36107.667882488699</v>
      </c>
      <c r="E71" s="9">
        <v>45696</v>
      </c>
      <c r="F71" t="s">
        <v>339</v>
      </c>
      <c r="G71" t="s">
        <v>24</v>
      </c>
      <c r="H71" t="s">
        <v>74</v>
      </c>
      <c r="I71" t="s">
        <v>75</v>
      </c>
      <c r="J71" t="s">
        <v>87</v>
      </c>
      <c r="K71" t="s">
        <v>340</v>
      </c>
      <c r="L71" t="s">
        <v>155</v>
      </c>
      <c r="M71">
        <v>4438.1875068774198</v>
      </c>
      <c r="N71">
        <v>0</v>
      </c>
      <c r="O71" t="s">
        <v>62</v>
      </c>
      <c r="P71">
        <v>2</v>
      </c>
      <c r="Q71" t="s">
        <v>44</v>
      </c>
      <c r="R71" t="s">
        <v>82</v>
      </c>
      <c r="S71">
        <v>9.5420808659400809</v>
      </c>
      <c r="T71">
        <v>93.264106255398502</v>
      </c>
    </row>
    <row r="72" spans="1:20">
      <c r="A72" t="s">
        <v>341</v>
      </c>
      <c r="B72" t="s">
        <v>308</v>
      </c>
      <c r="C72" t="s">
        <v>85</v>
      </c>
      <c r="D72">
        <v>21237.483434782102</v>
      </c>
      <c r="E72" s="9">
        <v>45696</v>
      </c>
      <c r="F72" t="s">
        <v>342</v>
      </c>
      <c r="G72" t="s">
        <v>68</v>
      </c>
      <c r="H72" t="s">
        <v>74</v>
      </c>
      <c r="I72" t="s">
        <v>26</v>
      </c>
      <c r="J72" t="s">
        <v>40</v>
      </c>
      <c r="K72" t="s">
        <v>343</v>
      </c>
      <c r="L72" t="s">
        <v>155</v>
      </c>
      <c r="M72">
        <v>2263.6451094713698</v>
      </c>
      <c r="N72">
        <v>66.708167761603505</v>
      </c>
      <c r="O72" t="s">
        <v>43</v>
      </c>
      <c r="P72">
        <v>3</v>
      </c>
      <c r="Q72" t="s">
        <v>95</v>
      </c>
      <c r="R72" t="s">
        <v>102</v>
      </c>
      <c r="S72">
        <v>-4.5102880093859703</v>
      </c>
      <c r="T72">
        <v>68.023775384378297</v>
      </c>
    </row>
    <row r="73" spans="1:20">
      <c r="A73" t="s">
        <v>337</v>
      </c>
      <c r="B73" t="s">
        <v>338</v>
      </c>
      <c r="C73" t="s">
        <v>85</v>
      </c>
      <c r="D73">
        <v>36107.667882488699</v>
      </c>
      <c r="E73" s="9">
        <v>45696</v>
      </c>
      <c r="F73" t="s">
        <v>339</v>
      </c>
      <c r="G73" t="s">
        <v>24</v>
      </c>
      <c r="H73" t="s">
        <v>74</v>
      </c>
      <c r="I73" t="s">
        <v>75</v>
      </c>
      <c r="J73" t="s">
        <v>87</v>
      </c>
      <c r="K73" t="s">
        <v>340</v>
      </c>
      <c r="L73" t="s">
        <v>155</v>
      </c>
      <c r="M73">
        <v>4438.1875068774198</v>
      </c>
      <c r="N73">
        <v>0</v>
      </c>
      <c r="O73" t="s">
        <v>62</v>
      </c>
      <c r="P73">
        <v>2</v>
      </c>
      <c r="Q73" t="s">
        <v>44</v>
      </c>
      <c r="R73" t="s">
        <v>82</v>
      </c>
      <c r="S73">
        <v>9.5420808659400809</v>
      </c>
      <c r="T73">
        <v>93.264106255398502</v>
      </c>
    </row>
    <row r="74" spans="1:20">
      <c r="A74" t="s">
        <v>344</v>
      </c>
      <c r="B74" t="s">
        <v>345</v>
      </c>
      <c r="C74" t="s">
        <v>35</v>
      </c>
      <c r="D74">
        <v>31868.5516489519</v>
      </c>
      <c r="E74" s="9">
        <v>45696</v>
      </c>
      <c r="F74" t="s">
        <v>346</v>
      </c>
      <c r="G74" t="s">
        <v>37</v>
      </c>
      <c r="H74" t="s">
        <v>106</v>
      </c>
      <c r="I74" t="s">
        <v>99</v>
      </c>
      <c r="J74" t="s">
        <v>60</v>
      </c>
      <c r="K74" t="s">
        <v>347</v>
      </c>
      <c r="L74" t="s">
        <v>53</v>
      </c>
      <c r="M74">
        <v>758.64872116540505</v>
      </c>
      <c r="N74">
        <v>0</v>
      </c>
      <c r="O74" t="s">
        <v>30</v>
      </c>
      <c r="P74">
        <v>3</v>
      </c>
      <c r="R74" t="s">
        <v>82</v>
      </c>
      <c r="S74">
        <v>-0.48793068496759401</v>
      </c>
      <c r="T74">
        <v>9.2269004562762795</v>
      </c>
    </row>
    <row r="75" spans="1:20">
      <c r="A75" t="s">
        <v>348</v>
      </c>
      <c r="B75" t="s">
        <v>349</v>
      </c>
      <c r="C75" t="s">
        <v>35</v>
      </c>
      <c r="D75">
        <v>24962.5601226621</v>
      </c>
      <c r="E75" s="9">
        <v>45697</v>
      </c>
      <c r="F75" t="s">
        <v>350</v>
      </c>
      <c r="G75" t="s">
        <v>141</v>
      </c>
      <c r="H75" t="s">
        <v>106</v>
      </c>
      <c r="I75" t="s">
        <v>51</v>
      </c>
      <c r="J75" t="s">
        <v>87</v>
      </c>
      <c r="K75" t="s">
        <v>351</v>
      </c>
      <c r="L75" t="s">
        <v>53</v>
      </c>
      <c r="M75">
        <v>2283.7697396619201</v>
      </c>
      <c r="N75">
        <v>0</v>
      </c>
      <c r="O75" t="s">
        <v>43</v>
      </c>
      <c r="P75">
        <v>2</v>
      </c>
      <c r="R75" t="s">
        <v>133</v>
      </c>
      <c r="S75">
        <v>-23.5551404738267</v>
      </c>
      <c r="T75">
        <v>69.5258400755434</v>
      </c>
    </row>
    <row r="76" spans="1:20">
      <c r="A76" t="s">
        <v>352</v>
      </c>
      <c r="B76" t="s">
        <v>353</v>
      </c>
      <c r="C76" t="s">
        <v>85</v>
      </c>
      <c r="D76">
        <v>41945.269679261</v>
      </c>
      <c r="E76" s="9">
        <v>45697</v>
      </c>
      <c r="F76" t="s">
        <v>354</v>
      </c>
      <c r="G76" t="s">
        <v>92</v>
      </c>
      <c r="H76" t="s">
        <v>69</v>
      </c>
      <c r="I76" t="s">
        <v>51</v>
      </c>
      <c r="J76" t="s">
        <v>40</v>
      </c>
      <c r="K76" t="s">
        <v>355</v>
      </c>
      <c r="L76" t="s">
        <v>29</v>
      </c>
      <c r="M76">
        <v>4120.0291572562001</v>
      </c>
      <c r="N76">
        <v>0</v>
      </c>
      <c r="O76" t="s">
        <v>30</v>
      </c>
      <c r="P76">
        <v>3</v>
      </c>
      <c r="Q76" t="s">
        <v>44</v>
      </c>
      <c r="R76" t="s">
        <v>133</v>
      </c>
      <c r="S76">
        <v>11.7246402581835</v>
      </c>
      <c r="T76">
        <v>98.973659771227105</v>
      </c>
    </row>
    <row r="77" spans="1:20">
      <c r="A77" t="s">
        <v>356</v>
      </c>
      <c r="B77" t="s">
        <v>223</v>
      </c>
      <c r="C77" t="s">
        <v>85</v>
      </c>
      <c r="D77">
        <v>44840.852122403601</v>
      </c>
      <c r="E77" s="9">
        <v>45697</v>
      </c>
      <c r="F77" t="s">
        <v>357</v>
      </c>
      <c r="G77" t="s">
        <v>59</v>
      </c>
      <c r="H77" t="s">
        <v>38</v>
      </c>
      <c r="I77" t="s">
        <v>99</v>
      </c>
      <c r="J77" t="s">
        <v>40</v>
      </c>
      <c r="K77" t="s">
        <v>358</v>
      </c>
      <c r="L77" t="s">
        <v>155</v>
      </c>
      <c r="M77">
        <v>4235.9849352728397</v>
      </c>
      <c r="N77">
        <v>0</v>
      </c>
      <c r="O77" t="s">
        <v>62</v>
      </c>
      <c r="P77">
        <v>1</v>
      </c>
      <c r="Q77" t="s">
        <v>55</v>
      </c>
      <c r="R77" t="s">
        <v>45</v>
      </c>
      <c r="S77">
        <v>-12.9187343073437</v>
      </c>
      <c r="T77">
        <v>38.516262777253999</v>
      </c>
    </row>
    <row r="78" spans="1:20">
      <c r="A78" t="s">
        <v>359</v>
      </c>
      <c r="B78" t="s">
        <v>360</v>
      </c>
      <c r="C78" t="s">
        <v>35</v>
      </c>
      <c r="D78">
        <v>26798.332929041</v>
      </c>
      <c r="E78" s="9">
        <v>45697</v>
      </c>
      <c r="F78" t="s">
        <v>361</v>
      </c>
      <c r="G78" t="s">
        <v>181</v>
      </c>
      <c r="H78" t="s">
        <v>106</v>
      </c>
      <c r="I78" t="s">
        <v>26</v>
      </c>
      <c r="J78" t="s">
        <v>40</v>
      </c>
      <c r="K78" t="s">
        <v>362</v>
      </c>
      <c r="L78" t="s">
        <v>120</v>
      </c>
      <c r="M78">
        <v>2589.2477816134901</v>
      </c>
      <c r="N78">
        <v>237.21745707358701</v>
      </c>
      <c r="O78" t="s">
        <v>54</v>
      </c>
      <c r="P78">
        <v>2</v>
      </c>
      <c r="R78" t="s">
        <v>133</v>
      </c>
      <c r="S78">
        <v>-28.6530450941205</v>
      </c>
      <c r="T78">
        <v>13.3468879282128</v>
      </c>
    </row>
    <row r="79" spans="1:20">
      <c r="A79" t="s">
        <v>363</v>
      </c>
      <c r="B79" t="s">
        <v>364</v>
      </c>
      <c r="C79" t="s">
        <v>48</v>
      </c>
      <c r="D79">
        <v>34558.955599037501</v>
      </c>
      <c r="E79" s="9">
        <v>45697</v>
      </c>
      <c r="F79" t="s">
        <v>365</v>
      </c>
      <c r="G79" t="s">
        <v>59</v>
      </c>
      <c r="H79" t="s">
        <v>38</v>
      </c>
      <c r="I79" t="s">
        <v>26</v>
      </c>
      <c r="J79" t="s">
        <v>173</v>
      </c>
      <c r="K79" t="s">
        <v>366</v>
      </c>
      <c r="L79" t="s">
        <v>120</v>
      </c>
      <c r="M79">
        <v>651.00378224961196</v>
      </c>
      <c r="N79">
        <v>0</v>
      </c>
      <c r="O79" t="s">
        <v>30</v>
      </c>
      <c r="P79">
        <v>0</v>
      </c>
      <c r="Q79" t="s">
        <v>44</v>
      </c>
      <c r="R79" t="s">
        <v>45</v>
      </c>
      <c r="S79">
        <v>-14.686053939342999</v>
      </c>
      <c r="T79">
        <v>77.380074856903406</v>
      </c>
    </row>
    <row r="80" spans="1:20">
      <c r="A80" t="s">
        <v>367</v>
      </c>
      <c r="B80" t="s">
        <v>368</v>
      </c>
      <c r="C80" t="s">
        <v>22</v>
      </c>
      <c r="D80">
        <v>26376.265486298798</v>
      </c>
      <c r="E80" s="9">
        <v>45698</v>
      </c>
      <c r="F80" t="s">
        <v>369</v>
      </c>
      <c r="G80" t="s">
        <v>68</v>
      </c>
      <c r="H80" t="s">
        <v>74</v>
      </c>
      <c r="I80" t="s">
        <v>26</v>
      </c>
      <c r="J80" t="s">
        <v>87</v>
      </c>
      <c r="K80" t="s">
        <v>370</v>
      </c>
      <c r="L80" t="s">
        <v>53</v>
      </c>
      <c r="M80">
        <v>3657.9055322172899</v>
      </c>
      <c r="N80">
        <v>139.565235387135</v>
      </c>
      <c r="O80" t="s">
        <v>54</v>
      </c>
      <c r="P80">
        <v>1</v>
      </c>
      <c r="Q80" t="s">
        <v>44</v>
      </c>
      <c r="R80" t="s">
        <v>82</v>
      </c>
      <c r="S80">
        <v>23.272375911079799</v>
      </c>
      <c r="T80">
        <v>9.5040240651619392</v>
      </c>
    </row>
    <row r="81" spans="1:20">
      <c r="A81" t="s">
        <v>371</v>
      </c>
      <c r="B81" t="s">
        <v>372</v>
      </c>
      <c r="C81" t="s">
        <v>48</v>
      </c>
      <c r="D81">
        <v>1807.9827299444</v>
      </c>
      <c r="E81" s="9">
        <v>45698</v>
      </c>
      <c r="F81" t="s">
        <v>373</v>
      </c>
      <c r="G81" t="s">
        <v>24</v>
      </c>
      <c r="H81" t="s">
        <v>69</v>
      </c>
      <c r="I81" t="s">
        <v>51</v>
      </c>
      <c r="J81" t="s">
        <v>60</v>
      </c>
      <c r="K81" t="s">
        <v>374</v>
      </c>
      <c r="L81" t="s">
        <v>81</v>
      </c>
      <c r="M81">
        <v>149.114987174329</v>
      </c>
      <c r="N81">
        <v>0</v>
      </c>
      <c r="O81" t="s">
        <v>101</v>
      </c>
      <c r="P81">
        <v>1</v>
      </c>
      <c r="R81" t="s">
        <v>32</v>
      </c>
      <c r="S81">
        <v>20.0657471943445</v>
      </c>
      <c r="T81">
        <v>68.833076233267704</v>
      </c>
    </row>
    <row r="82" spans="1:20">
      <c r="A82" t="s">
        <v>375</v>
      </c>
      <c r="B82" t="s">
        <v>135</v>
      </c>
      <c r="C82" t="s">
        <v>85</v>
      </c>
      <c r="D82">
        <v>27491.206796459999</v>
      </c>
      <c r="E82" s="9">
        <v>45702</v>
      </c>
      <c r="F82" t="s">
        <v>376</v>
      </c>
      <c r="G82" t="s">
        <v>181</v>
      </c>
      <c r="H82" t="s">
        <v>74</v>
      </c>
      <c r="I82" t="s">
        <v>75</v>
      </c>
      <c r="J82" t="s">
        <v>87</v>
      </c>
      <c r="K82" t="s">
        <v>377</v>
      </c>
      <c r="L82" t="s">
        <v>42</v>
      </c>
      <c r="M82">
        <v>3763.7909307322102</v>
      </c>
      <c r="N82">
        <v>0</v>
      </c>
      <c r="O82" t="s">
        <v>62</v>
      </c>
      <c r="P82">
        <v>3</v>
      </c>
      <c r="R82" t="s">
        <v>32</v>
      </c>
      <c r="S82">
        <v>-10.4532273752629</v>
      </c>
      <c r="T82">
        <v>8.0949702022356096</v>
      </c>
    </row>
    <row r="83" spans="1:20">
      <c r="A83" t="s">
        <v>378</v>
      </c>
      <c r="B83" t="s">
        <v>379</v>
      </c>
      <c r="C83" t="s">
        <v>85</v>
      </c>
      <c r="D83">
        <v>42551.300254821101</v>
      </c>
      <c r="E83" s="9">
        <v>45702</v>
      </c>
      <c r="F83" t="s">
        <v>380</v>
      </c>
      <c r="G83" t="s">
        <v>92</v>
      </c>
      <c r="H83" t="s">
        <v>38</v>
      </c>
      <c r="I83" t="s">
        <v>26</v>
      </c>
      <c r="J83" t="s">
        <v>27</v>
      </c>
      <c r="K83" t="s">
        <v>381</v>
      </c>
      <c r="L83" t="s">
        <v>155</v>
      </c>
      <c r="M83">
        <v>207.02633448935401</v>
      </c>
      <c r="N83">
        <v>161.40489672392499</v>
      </c>
      <c r="O83" t="s">
        <v>62</v>
      </c>
      <c r="P83">
        <v>1</v>
      </c>
      <c r="Q83" t="s">
        <v>31</v>
      </c>
      <c r="R83" t="s">
        <v>45</v>
      </c>
      <c r="S83">
        <v>-22.602964352855199</v>
      </c>
      <c r="T83">
        <v>85.791707224356799</v>
      </c>
    </row>
    <row r="84" spans="1:20">
      <c r="A84" t="s">
        <v>382</v>
      </c>
      <c r="B84" t="s">
        <v>383</v>
      </c>
      <c r="C84" t="s">
        <v>48</v>
      </c>
      <c r="D84">
        <v>48948.678637236502</v>
      </c>
      <c r="E84" s="9">
        <v>45703</v>
      </c>
      <c r="F84" t="s">
        <v>384</v>
      </c>
      <c r="G84" t="s">
        <v>68</v>
      </c>
      <c r="H84" t="s">
        <v>69</v>
      </c>
      <c r="I84" t="s">
        <v>26</v>
      </c>
      <c r="J84" t="s">
        <v>27</v>
      </c>
      <c r="K84" t="s">
        <v>385</v>
      </c>
      <c r="L84" t="s">
        <v>53</v>
      </c>
      <c r="M84">
        <v>3016.8963147163299</v>
      </c>
      <c r="N84">
        <v>0</v>
      </c>
      <c r="O84" t="s">
        <v>101</v>
      </c>
      <c r="P84">
        <v>3</v>
      </c>
      <c r="Q84" t="s">
        <v>31</v>
      </c>
      <c r="R84" t="s">
        <v>32</v>
      </c>
      <c r="S84">
        <v>-17.0324400990743</v>
      </c>
      <c r="T84">
        <v>72.818335718848203</v>
      </c>
    </row>
    <row r="85" spans="1:20">
      <c r="A85" t="s">
        <v>386</v>
      </c>
      <c r="B85" t="s">
        <v>387</v>
      </c>
      <c r="C85" t="s">
        <v>35</v>
      </c>
      <c r="D85">
        <v>45402.5199100795</v>
      </c>
      <c r="E85" s="9">
        <v>45703</v>
      </c>
      <c r="F85" t="s">
        <v>388</v>
      </c>
      <c r="G85" t="s">
        <v>59</v>
      </c>
      <c r="H85" t="s">
        <v>74</v>
      </c>
      <c r="I85" t="s">
        <v>99</v>
      </c>
      <c r="J85" t="s">
        <v>173</v>
      </c>
      <c r="K85" t="s">
        <v>389</v>
      </c>
      <c r="L85" t="s">
        <v>120</v>
      </c>
      <c r="M85">
        <v>4525.4699952620404</v>
      </c>
      <c r="N85">
        <v>353.81029287026797</v>
      </c>
      <c r="O85" t="s">
        <v>43</v>
      </c>
      <c r="P85">
        <v>1</v>
      </c>
      <c r="Q85" t="s">
        <v>63</v>
      </c>
      <c r="R85" t="s">
        <v>64</v>
      </c>
      <c r="S85">
        <v>-9.5387896646379708</v>
      </c>
      <c r="T85">
        <v>39.196774027446303</v>
      </c>
    </row>
    <row r="86" spans="1:20">
      <c r="A86" t="s">
        <v>390</v>
      </c>
      <c r="B86" t="s">
        <v>391</v>
      </c>
      <c r="C86" t="s">
        <v>85</v>
      </c>
      <c r="D86">
        <v>15642.5112395246</v>
      </c>
      <c r="E86" s="9">
        <v>45703</v>
      </c>
      <c r="F86" t="s">
        <v>392</v>
      </c>
      <c r="G86" t="s">
        <v>68</v>
      </c>
      <c r="H86" t="s">
        <v>93</v>
      </c>
      <c r="I86" t="s">
        <v>99</v>
      </c>
      <c r="J86" t="s">
        <v>60</v>
      </c>
      <c r="K86" t="s">
        <v>393</v>
      </c>
      <c r="L86" t="s">
        <v>42</v>
      </c>
      <c r="M86">
        <v>2654.1084661661398</v>
      </c>
      <c r="N86">
        <v>0</v>
      </c>
      <c r="O86" t="s">
        <v>62</v>
      </c>
      <c r="P86">
        <v>0</v>
      </c>
      <c r="Q86" t="s">
        <v>44</v>
      </c>
      <c r="R86" t="s">
        <v>133</v>
      </c>
      <c r="S86">
        <v>5.3571436717710696</v>
      </c>
      <c r="T86">
        <v>7.5202028762802504</v>
      </c>
    </row>
    <row r="87" spans="1:20">
      <c r="A87" t="s">
        <v>394</v>
      </c>
      <c r="B87" t="s">
        <v>395</v>
      </c>
      <c r="C87" t="s">
        <v>35</v>
      </c>
      <c r="D87">
        <v>36053.751463434099</v>
      </c>
      <c r="E87" s="9">
        <v>45704</v>
      </c>
      <c r="F87" t="s">
        <v>396</v>
      </c>
      <c r="G87" t="s">
        <v>37</v>
      </c>
      <c r="H87" t="s">
        <v>69</v>
      </c>
      <c r="I87" t="s">
        <v>26</v>
      </c>
      <c r="J87" t="s">
        <v>173</v>
      </c>
      <c r="K87" t="s">
        <v>397</v>
      </c>
      <c r="L87" t="s">
        <v>81</v>
      </c>
      <c r="M87">
        <v>2370.5099085086099</v>
      </c>
      <c r="N87">
        <v>405.81350722242701</v>
      </c>
      <c r="O87" t="s">
        <v>62</v>
      </c>
      <c r="P87">
        <v>4</v>
      </c>
      <c r="Q87" t="s">
        <v>55</v>
      </c>
      <c r="R87" t="s">
        <v>102</v>
      </c>
      <c r="S87">
        <v>-11.111696464765901</v>
      </c>
      <c r="T87">
        <v>55.552506806272</v>
      </c>
    </row>
    <row r="88" spans="1:20">
      <c r="A88" t="s">
        <v>398</v>
      </c>
      <c r="B88" t="s">
        <v>399</v>
      </c>
      <c r="C88" t="s">
        <v>85</v>
      </c>
      <c r="D88">
        <v>27624.234839949098</v>
      </c>
      <c r="E88" s="9">
        <v>45704</v>
      </c>
      <c r="F88" t="s">
        <v>400</v>
      </c>
      <c r="G88" t="s">
        <v>68</v>
      </c>
      <c r="H88" t="s">
        <v>69</v>
      </c>
      <c r="I88" t="s">
        <v>51</v>
      </c>
      <c r="J88" t="s">
        <v>87</v>
      </c>
      <c r="K88" t="s">
        <v>401</v>
      </c>
      <c r="L88" t="s">
        <v>42</v>
      </c>
      <c r="M88">
        <v>3329.7111928069899</v>
      </c>
      <c r="N88">
        <v>0</v>
      </c>
      <c r="O88" t="s">
        <v>54</v>
      </c>
      <c r="P88">
        <v>2</v>
      </c>
      <c r="Q88" t="s">
        <v>31</v>
      </c>
      <c r="R88" t="s">
        <v>102</v>
      </c>
      <c r="T88">
        <v>9.4059820228588702</v>
      </c>
    </row>
    <row r="89" spans="1:20">
      <c r="A89" t="s">
        <v>402</v>
      </c>
      <c r="B89" t="s">
        <v>97</v>
      </c>
      <c r="C89" t="s">
        <v>35</v>
      </c>
      <c r="D89">
        <v>47766.292004901603</v>
      </c>
      <c r="E89" s="9">
        <v>45707</v>
      </c>
      <c r="F89" t="s">
        <v>403</v>
      </c>
      <c r="G89" t="s">
        <v>141</v>
      </c>
      <c r="H89" t="s">
        <v>106</v>
      </c>
      <c r="I89" t="s">
        <v>75</v>
      </c>
      <c r="J89" t="s">
        <v>27</v>
      </c>
      <c r="K89" t="s">
        <v>404</v>
      </c>
      <c r="L89" t="s">
        <v>42</v>
      </c>
      <c r="M89">
        <v>4646.5545635766603</v>
      </c>
      <c r="N89">
        <v>0</v>
      </c>
      <c r="O89" t="s">
        <v>30</v>
      </c>
      <c r="P89">
        <v>3</v>
      </c>
      <c r="Q89" t="s">
        <v>95</v>
      </c>
      <c r="R89" t="s">
        <v>64</v>
      </c>
      <c r="S89">
        <v>-0.45854432823061902</v>
      </c>
      <c r="T89">
        <v>85.100376679724903</v>
      </c>
    </row>
    <row r="90" spans="1:20">
      <c r="A90" t="s">
        <v>405</v>
      </c>
      <c r="B90" t="s">
        <v>330</v>
      </c>
      <c r="C90" t="s">
        <v>48</v>
      </c>
      <c r="D90">
        <v>1739.0488451475701</v>
      </c>
      <c r="E90" s="9">
        <v>45707</v>
      </c>
      <c r="F90" t="s">
        <v>406</v>
      </c>
      <c r="G90" t="s">
        <v>141</v>
      </c>
      <c r="H90" t="s">
        <v>38</v>
      </c>
      <c r="I90" t="s">
        <v>26</v>
      </c>
      <c r="J90" t="s">
        <v>87</v>
      </c>
      <c r="K90" t="s">
        <v>407</v>
      </c>
      <c r="L90" t="s">
        <v>29</v>
      </c>
      <c r="M90">
        <v>2158.6877213687198</v>
      </c>
      <c r="N90">
        <v>0</v>
      </c>
      <c r="O90" t="s">
        <v>54</v>
      </c>
      <c r="P90">
        <v>2</v>
      </c>
      <c r="Q90" t="s">
        <v>95</v>
      </c>
      <c r="R90" t="s">
        <v>64</v>
      </c>
      <c r="S90">
        <v>23.692152042331202</v>
      </c>
      <c r="T90">
        <v>38.379125590684701</v>
      </c>
    </row>
    <row r="91" spans="1:20">
      <c r="A91" t="s">
        <v>408</v>
      </c>
      <c r="B91" t="s">
        <v>409</v>
      </c>
      <c r="C91" t="s">
        <v>85</v>
      </c>
      <c r="D91">
        <v>44721.4414185067</v>
      </c>
      <c r="E91" s="9">
        <v>45709</v>
      </c>
      <c r="F91" t="s">
        <v>410</v>
      </c>
      <c r="G91" t="s">
        <v>92</v>
      </c>
      <c r="H91" t="s">
        <v>93</v>
      </c>
      <c r="I91" t="s">
        <v>99</v>
      </c>
      <c r="J91" t="s">
        <v>87</v>
      </c>
      <c r="K91" t="s">
        <v>411</v>
      </c>
      <c r="L91" t="s">
        <v>53</v>
      </c>
      <c r="M91">
        <v>3143.6497544613699</v>
      </c>
      <c r="N91">
        <v>346.68876925942601</v>
      </c>
      <c r="O91" t="s">
        <v>101</v>
      </c>
      <c r="P91">
        <v>4</v>
      </c>
      <c r="R91" t="s">
        <v>82</v>
      </c>
      <c r="S91">
        <v>-2.6012197444032398E-2</v>
      </c>
      <c r="T91">
        <v>29.9012679609346</v>
      </c>
    </row>
    <row r="92" spans="1:20">
      <c r="A92" t="s">
        <v>412</v>
      </c>
      <c r="B92" t="s">
        <v>253</v>
      </c>
      <c r="C92" t="s">
        <v>85</v>
      </c>
      <c r="D92">
        <v>26610.161123279398</v>
      </c>
      <c r="E92" s="9">
        <v>45711</v>
      </c>
      <c r="F92" t="s">
        <v>413</v>
      </c>
      <c r="G92" t="s">
        <v>50</v>
      </c>
      <c r="H92" t="s">
        <v>74</v>
      </c>
      <c r="I92" t="s">
        <v>51</v>
      </c>
      <c r="J92" t="s">
        <v>40</v>
      </c>
      <c r="K92" t="s">
        <v>414</v>
      </c>
      <c r="L92" t="s">
        <v>120</v>
      </c>
      <c r="M92">
        <v>2041.00748749321</v>
      </c>
      <c r="N92">
        <v>0</v>
      </c>
      <c r="O92" t="s">
        <v>43</v>
      </c>
      <c r="P92">
        <v>3</v>
      </c>
      <c r="Q92" t="s">
        <v>31</v>
      </c>
      <c r="R92" t="s">
        <v>102</v>
      </c>
      <c r="S92">
        <v>-21.915164092145599</v>
      </c>
      <c r="T92">
        <v>57.963245820181797</v>
      </c>
    </row>
    <row r="93" spans="1:20">
      <c r="A93" t="s">
        <v>415</v>
      </c>
      <c r="B93" t="s">
        <v>416</v>
      </c>
      <c r="C93" t="s">
        <v>48</v>
      </c>
      <c r="D93">
        <v>3452.0524557939302</v>
      </c>
      <c r="E93" s="9">
        <v>45712</v>
      </c>
      <c r="F93" t="s">
        <v>417</v>
      </c>
      <c r="G93" t="s">
        <v>92</v>
      </c>
      <c r="H93" t="s">
        <v>106</v>
      </c>
      <c r="I93" t="s">
        <v>75</v>
      </c>
      <c r="J93" t="s">
        <v>87</v>
      </c>
      <c r="K93" t="s">
        <v>418</v>
      </c>
      <c r="L93" t="s">
        <v>53</v>
      </c>
      <c r="M93">
        <v>1701.62140863678</v>
      </c>
      <c r="N93">
        <v>0</v>
      </c>
      <c r="O93" t="s">
        <v>54</v>
      </c>
      <c r="P93">
        <v>4</v>
      </c>
      <c r="Q93" t="s">
        <v>44</v>
      </c>
      <c r="R93" t="s">
        <v>102</v>
      </c>
      <c r="S93">
        <v>0.21719627841608299</v>
      </c>
      <c r="T93">
        <v>25.955043327308299</v>
      </c>
    </row>
    <row r="94" spans="1:20">
      <c r="A94" t="s">
        <v>419</v>
      </c>
      <c r="B94" t="s">
        <v>420</v>
      </c>
      <c r="C94" t="s">
        <v>85</v>
      </c>
      <c r="D94">
        <v>35951.017814744002</v>
      </c>
      <c r="E94" s="9">
        <v>45713</v>
      </c>
      <c r="F94" t="s">
        <v>421</v>
      </c>
      <c r="G94" t="s">
        <v>68</v>
      </c>
      <c r="H94" t="s">
        <v>38</v>
      </c>
      <c r="I94" t="s">
        <v>26</v>
      </c>
      <c r="J94" t="s">
        <v>27</v>
      </c>
      <c r="K94" t="s">
        <v>422</v>
      </c>
      <c r="L94" t="s">
        <v>29</v>
      </c>
      <c r="M94">
        <v>2791.4260311369399</v>
      </c>
      <c r="N94">
        <v>0</v>
      </c>
      <c r="O94" t="s">
        <v>62</v>
      </c>
      <c r="P94">
        <v>1</v>
      </c>
      <c r="Q94" t="s">
        <v>95</v>
      </c>
      <c r="R94" t="s">
        <v>32</v>
      </c>
      <c r="S94">
        <v>16.7731721277157</v>
      </c>
      <c r="T94">
        <v>67.419762286492997</v>
      </c>
    </row>
    <row r="95" spans="1:20">
      <c r="A95" t="s">
        <v>423</v>
      </c>
      <c r="B95" t="s">
        <v>424</v>
      </c>
      <c r="C95" t="s">
        <v>22</v>
      </c>
      <c r="D95">
        <v>35837.335829174299</v>
      </c>
      <c r="E95" s="9">
        <v>45715</v>
      </c>
      <c r="F95" t="s">
        <v>425</v>
      </c>
      <c r="G95" t="s">
        <v>92</v>
      </c>
      <c r="H95" t="s">
        <v>25</v>
      </c>
      <c r="I95" t="s">
        <v>39</v>
      </c>
      <c r="J95" t="s">
        <v>87</v>
      </c>
      <c r="K95" t="s">
        <v>426</v>
      </c>
      <c r="L95" t="s">
        <v>155</v>
      </c>
      <c r="M95">
        <v>4764.9581089387602</v>
      </c>
      <c r="N95">
        <v>0</v>
      </c>
      <c r="O95" t="s">
        <v>43</v>
      </c>
      <c r="P95">
        <v>0</v>
      </c>
      <c r="Q95" t="s">
        <v>31</v>
      </c>
      <c r="R95" t="s">
        <v>102</v>
      </c>
      <c r="S95">
        <v>-18.296716665818199</v>
      </c>
      <c r="T95">
        <v>83.854920702479305</v>
      </c>
    </row>
    <row r="96" spans="1:20">
      <c r="A96" t="s">
        <v>427</v>
      </c>
      <c r="B96" t="s">
        <v>428</v>
      </c>
      <c r="C96" t="s">
        <v>22</v>
      </c>
      <c r="D96">
        <v>11871.7111262945</v>
      </c>
      <c r="E96" s="9">
        <v>45715</v>
      </c>
      <c r="F96" t="s">
        <v>429</v>
      </c>
      <c r="G96" t="s">
        <v>141</v>
      </c>
      <c r="H96" t="s">
        <v>69</v>
      </c>
      <c r="I96" t="s">
        <v>75</v>
      </c>
      <c r="J96" t="s">
        <v>40</v>
      </c>
      <c r="K96" t="s">
        <v>430</v>
      </c>
      <c r="L96" t="s">
        <v>81</v>
      </c>
      <c r="M96">
        <v>3120.1947036311099</v>
      </c>
      <c r="N96">
        <v>438.563780949251</v>
      </c>
      <c r="O96" t="s">
        <v>101</v>
      </c>
      <c r="P96">
        <v>1</v>
      </c>
      <c r="Q96" t="s">
        <v>55</v>
      </c>
      <c r="R96" t="s">
        <v>133</v>
      </c>
      <c r="S96">
        <v>-20.751148539820001</v>
      </c>
      <c r="T96">
        <v>18.293532128421301</v>
      </c>
    </row>
    <row r="97" spans="1:20">
      <c r="A97" t="s">
        <v>431</v>
      </c>
      <c r="B97" t="s">
        <v>432</v>
      </c>
      <c r="C97" t="s">
        <v>22</v>
      </c>
      <c r="D97">
        <v>47935.496147929698</v>
      </c>
      <c r="E97" s="9">
        <v>45716</v>
      </c>
      <c r="F97" t="s">
        <v>433</v>
      </c>
      <c r="G97" t="s">
        <v>92</v>
      </c>
      <c r="H97" t="s">
        <v>106</v>
      </c>
      <c r="I97" t="s">
        <v>51</v>
      </c>
      <c r="J97" t="s">
        <v>60</v>
      </c>
      <c r="K97" t="s">
        <v>434</v>
      </c>
      <c r="L97" t="s">
        <v>155</v>
      </c>
      <c r="M97">
        <v>1662.8316908962699</v>
      </c>
      <c r="N97">
        <v>0</v>
      </c>
      <c r="O97" t="s">
        <v>30</v>
      </c>
      <c r="P97">
        <v>1</v>
      </c>
      <c r="Q97" t="s">
        <v>55</v>
      </c>
      <c r="R97" t="s">
        <v>64</v>
      </c>
      <c r="S97">
        <v>-0.70142143044929395</v>
      </c>
      <c r="T97">
        <v>40.154173800528199</v>
      </c>
    </row>
    <row r="98" spans="1:20">
      <c r="A98" t="s">
        <v>435</v>
      </c>
      <c r="B98" t="s">
        <v>436</v>
      </c>
      <c r="C98" t="s">
        <v>85</v>
      </c>
      <c r="D98">
        <v>46607.515678620999</v>
      </c>
      <c r="E98" s="9">
        <v>45716</v>
      </c>
      <c r="F98" t="s">
        <v>437</v>
      </c>
      <c r="G98" t="s">
        <v>24</v>
      </c>
      <c r="H98" t="s">
        <v>93</v>
      </c>
      <c r="I98" t="s">
        <v>99</v>
      </c>
      <c r="J98" t="s">
        <v>173</v>
      </c>
      <c r="K98" t="s">
        <v>438</v>
      </c>
      <c r="L98" t="s">
        <v>155</v>
      </c>
      <c r="M98">
        <v>3569.4547616515702</v>
      </c>
      <c r="N98">
        <v>0</v>
      </c>
      <c r="O98" t="s">
        <v>43</v>
      </c>
      <c r="P98">
        <v>2</v>
      </c>
      <c r="R98" t="s">
        <v>133</v>
      </c>
      <c r="S98">
        <v>-6.3032888387122696</v>
      </c>
      <c r="T98">
        <v>56.503252497595</v>
      </c>
    </row>
    <row r="99" spans="1:20">
      <c r="A99" t="s">
        <v>439</v>
      </c>
      <c r="B99" t="s">
        <v>440</v>
      </c>
      <c r="C99" t="s">
        <v>22</v>
      </c>
      <c r="D99">
        <v>16571.9657141768</v>
      </c>
      <c r="E99" s="9">
        <v>45716</v>
      </c>
      <c r="F99" t="s">
        <v>441</v>
      </c>
      <c r="G99" t="s">
        <v>181</v>
      </c>
      <c r="H99" t="s">
        <v>93</v>
      </c>
      <c r="I99" t="s">
        <v>26</v>
      </c>
      <c r="J99" t="s">
        <v>173</v>
      </c>
      <c r="K99" t="s">
        <v>442</v>
      </c>
      <c r="L99" t="s">
        <v>81</v>
      </c>
      <c r="M99">
        <v>1570.37095811585</v>
      </c>
      <c r="N99">
        <v>383.12273638019002</v>
      </c>
      <c r="O99" t="s">
        <v>30</v>
      </c>
      <c r="P99">
        <v>0</v>
      </c>
      <c r="R99" t="s">
        <v>32</v>
      </c>
      <c r="S99">
        <v>6.66140469251547</v>
      </c>
      <c r="T99">
        <v>67.122155634631795</v>
      </c>
    </row>
    <row r="100" spans="1:20">
      <c r="A100" t="s">
        <v>443</v>
      </c>
      <c r="B100" t="s">
        <v>444</v>
      </c>
      <c r="C100" t="s">
        <v>35</v>
      </c>
      <c r="D100">
        <v>16100.0453887598</v>
      </c>
      <c r="E100" s="9">
        <v>45716</v>
      </c>
      <c r="F100" t="s">
        <v>445</v>
      </c>
      <c r="G100" t="s">
        <v>24</v>
      </c>
      <c r="H100" t="s">
        <v>74</v>
      </c>
      <c r="I100" t="s">
        <v>51</v>
      </c>
      <c r="J100" t="s">
        <v>27</v>
      </c>
      <c r="K100" t="s">
        <v>446</v>
      </c>
      <c r="L100" t="s">
        <v>81</v>
      </c>
      <c r="M100">
        <v>1210.77241448676</v>
      </c>
      <c r="N100">
        <v>0</v>
      </c>
      <c r="O100" t="s">
        <v>54</v>
      </c>
      <c r="P100">
        <v>2</v>
      </c>
      <c r="Q100" t="s">
        <v>31</v>
      </c>
      <c r="R100" t="s">
        <v>45</v>
      </c>
      <c r="S100">
        <v>-14.758138932060801</v>
      </c>
      <c r="T100">
        <v>66.9683972463272</v>
      </c>
    </row>
    <row r="101" spans="1:20">
      <c r="A101" t="s">
        <v>435</v>
      </c>
      <c r="B101" t="s">
        <v>436</v>
      </c>
      <c r="C101" t="s">
        <v>85</v>
      </c>
      <c r="D101">
        <v>46607.515678620999</v>
      </c>
      <c r="E101" s="9">
        <v>45716</v>
      </c>
      <c r="F101" t="s">
        <v>437</v>
      </c>
      <c r="G101" t="s">
        <v>24</v>
      </c>
      <c r="H101" t="s">
        <v>93</v>
      </c>
      <c r="I101" t="s">
        <v>99</v>
      </c>
      <c r="J101" t="s">
        <v>173</v>
      </c>
      <c r="K101" t="s">
        <v>438</v>
      </c>
      <c r="L101" t="s">
        <v>155</v>
      </c>
      <c r="M101">
        <v>3569.4547616515702</v>
      </c>
      <c r="N101">
        <v>0</v>
      </c>
      <c r="O101" t="s">
        <v>43</v>
      </c>
      <c r="P101">
        <v>2</v>
      </c>
      <c r="R101" t="s">
        <v>133</v>
      </c>
      <c r="S101">
        <v>-6.3032888387122696</v>
      </c>
      <c r="T101">
        <v>56.503252497595</v>
      </c>
    </row>
    <row r="102" spans="1:20">
      <c r="A102" t="s">
        <v>447</v>
      </c>
      <c r="B102" t="s">
        <v>319</v>
      </c>
      <c r="C102" t="s">
        <v>48</v>
      </c>
      <c r="D102">
        <v>21633.254342508499</v>
      </c>
      <c r="E102" s="9">
        <v>45717</v>
      </c>
      <c r="F102" t="s">
        <v>448</v>
      </c>
      <c r="G102" t="s">
        <v>92</v>
      </c>
      <c r="H102" t="s">
        <v>93</v>
      </c>
      <c r="I102" t="s">
        <v>26</v>
      </c>
      <c r="J102" t="s">
        <v>87</v>
      </c>
      <c r="K102" t="s">
        <v>449</v>
      </c>
      <c r="L102" t="s">
        <v>42</v>
      </c>
      <c r="M102">
        <v>1729.6480364957699</v>
      </c>
      <c r="N102">
        <v>323.20368761404399</v>
      </c>
      <c r="O102" t="s">
        <v>62</v>
      </c>
      <c r="P102">
        <v>1</v>
      </c>
      <c r="Q102" t="s">
        <v>44</v>
      </c>
      <c r="R102" t="s">
        <v>64</v>
      </c>
      <c r="S102">
        <v>12.834056003795901</v>
      </c>
      <c r="T102">
        <v>24.761708717471901</v>
      </c>
    </row>
    <row r="103" spans="1:20">
      <c r="A103" t="s">
        <v>450</v>
      </c>
      <c r="B103" t="s">
        <v>451</v>
      </c>
      <c r="C103" t="s">
        <v>48</v>
      </c>
      <c r="D103">
        <v>5801.9382727788197</v>
      </c>
      <c r="E103" s="9">
        <v>45717</v>
      </c>
      <c r="F103" t="s">
        <v>452</v>
      </c>
      <c r="G103" t="s">
        <v>181</v>
      </c>
      <c r="H103" t="s">
        <v>69</v>
      </c>
      <c r="I103" t="s">
        <v>99</v>
      </c>
      <c r="J103" t="s">
        <v>173</v>
      </c>
      <c r="K103" t="s">
        <v>453</v>
      </c>
      <c r="L103" t="s">
        <v>29</v>
      </c>
      <c r="M103">
        <v>2831.22575955712</v>
      </c>
      <c r="N103">
        <v>0</v>
      </c>
      <c r="O103" t="s">
        <v>101</v>
      </c>
      <c r="P103">
        <v>2</v>
      </c>
      <c r="Q103" t="s">
        <v>31</v>
      </c>
      <c r="R103" t="s">
        <v>32</v>
      </c>
      <c r="S103">
        <v>11.006069223235</v>
      </c>
      <c r="T103">
        <v>38.863229039883898</v>
      </c>
    </row>
    <row r="104" spans="1:20">
      <c r="A104" t="s">
        <v>454</v>
      </c>
      <c r="B104" t="s">
        <v>455</v>
      </c>
      <c r="C104" t="s">
        <v>85</v>
      </c>
      <c r="D104">
        <v>43728.448482235399</v>
      </c>
      <c r="E104" s="9">
        <v>45718</v>
      </c>
      <c r="F104" t="s">
        <v>456</v>
      </c>
      <c r="G104" t="s">
        <v>172</v>
      </c>
      <c r="H104" t="s">
        <v>74</v>
      </c>
      <c r="I104" t="s">
        <v>51</v>
      </c>
      <c r="J104" t="s">
        <v>60</v>
      </c>
      <c r="K104" t="s">
        <v>457</v>
      </c>
      <c r="L104" t="s">
        <v>42</v>
      </c>
      <c r="M104">
        <v>467.06411821895801</v>
      </c>
      <c r="N104">
        <v>350.78263280147098</v>
      </c>
      <c r="O104" t="s">
        <v>54</v>
      </c>
      <c r="P104">
        <v>2</v>
      </c>
      <c r="Q104" t="s">
        <v>95</v>
      </c>
      <c r="R104" t="s">
        <v>102</v>
      </c>
      <c r="S104">
        <v>9.3377647268590493</v>
      </c>
      <c r="T104">
        <v>2.00527097840085</v>
      </c>
    </row>
    <row r="105" spans="1:20">
      <c r="A105" t="s">
        <v>458</v>
      </c>
      <c r="B105" t="s">
        <v>459</v>
      </c>
      <c r="C105" t="s">
        <v>48</v>
      </c>
      <c r="D105">
        <v>1620.5604214063501</v>
      </c>
      <c r="E105" s="9">
        <v>45718</v>
      </c>
      <c r="F105" t="s">
        <v>460</v>
      </c>
      <c r="G105" t="s">
        <v>59</v>
      </c>
      <c r="H105" t="s">
        <v>74</v>
      </c>
      <c r="I105" t="s">
        <v>51</v>
      </c>
      <c r="J105" t="s">
        <v>87</v>
      </c>
      <c r="K105" t="s">
        <v>461</v>
      </c>
      <c r="L105" t="s">
        <v>29</v>
      </c>
      <c r="M105">
        <v>1566.18993459331</v>
      </c>
      <c r="N105">
        <v>0</v>
      </c>
      <c r="O105" t="s">
        <v>30</v>
      </c>
      <c r="P105">
        <v>4</v>
      </c>
      <c r="Q105" t="s">
        <v>63</v>
      </c>
      <c r="R105" t="s">
        <v>102</v>
      </c>
      <c r="S105">
        <v>24.871569228123398</v>
      </c>
      <c r="T105">
        <v>56.952127868203299</v>
      </c>
    </row>
    <row r="106" spans="1:20">
      <c r="A106" t="s">
        <v>462</v>
      </c>
      <c r="B106" t="s">
        <v>463</v>
      </c>
      <c r="C106" t="s">
        <v>22</v>
      </c>
      <c r="D106">
        <v>19918.4752419537</v>
      </c>
      <c r="E106" s="9">
        <v>45719</v>
      </c>
      <c r="F106" t="s">
        <v>464</v>
      </c>
      <c r="G106" t="s">
        <v>163</v>
      </c>
      <c r="H106" t="s">
        <v>38</v>
      </c>
      <c r="I106" t="s">
        <v>99</v>
      </c>
      <c r="J106" t="s">
        <v>173</v>
      </c>
      <c r="K106" t="s">
        <v>465</v>
      </c>
      <c r="L106" t="s">
        <v>120</v>
      </c>
      <c r="M106">
        <v>1781.49050594758</v>
      </c>
      <c r="N106">
        <v>0</v>
      </c>
      <c r="O106" t="s">
        <v>54</v>
      </c>
      <c r="P106">
        <v>1</v>
      </c>
      <c r="Q106" t="s">
        <v>31</v>
      </c>
      <c r="R106" t="s">
        <v>133</v>
      </c>
      <c r="S106">
        <v>15.4529035880023</v>
      </c>
      <c r="T106">
        <v>88.247019494313506</v>
      </c>
    </row>
    <row r="107" spans="1:20">
      <c r="A107" t="s">
        <v>466</v>
      </c>
      <c r="B107" t="s">
        <v>277</v>
      </c>
      <c r="C107" t="s">
        <v>35</v>
      </c>
      <c r="D107">
        <v>17446.1988026859</v>
      </c>
      <c r="E107" s="9">
        <v>45719</v>
      </c>
      <c r="F107" t="s">
        <v>467</v>
      </c>
      <c r="G107" t="s">
        <v>50</v>
      </c>
      <c r="H107" t="s">
        <v>25</v>
      </c>
      <c r="I107" t="s">
        <v>75</v>
      </c>
      <c r="J107" t="s">
        <v>173</v>
      </c>
      <c r="K107" t="s">
        <v>468</v>
      </c>
      <c r="L107" t="s">
        <v>120</v>
      </c>
      <c r="M107">
        <v>4026.0622780907902</v>
      </c>
      <c r="N107">
        <v>0</v>
      </c>
      <c r="O107" t="s">
        <v>43</v>
      </c>
      <c r="P107">
        <v>1</v>
      </c>
      <c r="Q107" t="s">
        <v>95</v>
      </c>
      <c r="R107" t="s">
        <v>64</v>
      </c>
      <c r="S107">
        <v>13.855682155982</v>
      </c>
      <c r="T107">
        <v>72.128726897382705</v>
      </c>
    </row>
    <row r="108" spans="1:20">
      <c r="A108" t="s">
        <v>469</v>
      </c>
      <c r="B108" t="s">
        <v>312</v>
      </c>
      <c r="C108" t="s">
        <v>48</v>
      </c>
      <c r="D108">
        <v>34420.457383094501</v>
      </c>
      <c r="E108" s="9">
        <v>45720</v>
      </c>
      <c r="F108" t="s">
        <v>470</v>
      </c>
      <c r="G108" t="s">
        <v>24</v>
      </c>
      <c r="H108" t="s">
        <v>93</v>
      </c>
      <c r="I108" t="s">
        <v>99</v>
      </c>
      <c r="J108" t="s">
        <v>60</v>
      </c>
      <c r="K108" t="s">
        <v>471</v>
      </c>
      <c r="L108" t="s">
        <v>155</v>
      </c>
      <c r="M108">
        <v>486.35318277638999</v>
      </c>
      <c r="N108">
        <v>0</v>
      </c>
      <c r="O108" t="s">
        <v>54</v>
      </c>
      <c r="P108">
        <v>2</v>
      </c>
      <c r="Q108" t="s">
        <v>55</v>
      </c>
      <c r="R108" t="s">
        <v>82</v>
      </c>
      <c r="S108">
        <v>-13.4443021229962</v>
      </c>
      <c r="T108">
        <v>41.516358660410397</v>
      </c>
    </row>
    <row r="109" spans="1:20">
      <c r="A109" t="s">
        <v>472</v>
      </c>
      <c r="B109" t="s">
        <v>473</v>
      </c>
      <c r="C109" t="s">
        <v>22</v>
      </c>
      <c r="D109">
        <v>40009.122901506104</v>
      </c>
      <c r="E109" s="9">
        <v>45721</v>
      </c>
      <c r="F109" t="s">
        <v>474</v>
      </c>
      <c r="G109" t="s">
        <v>59</v>
      </c>
      <c r="H109" t="s">
        <v>25</v>
      </c>
      <c r="I109" t="s">
        <v>99</v>
      </c>
      <c r="J109" t="s">
        <v>173</v>
      </c>
      <c r="K109" t="s">
        <v>475</v>
      </c>
      <c r="L109" t="s">
        <v>42</v>
      </c>
      <c r="M109">
        <v>481.00246760767499</v>
      </c>
      <c r="N109">
        <v>0</v>
      </c>
      <c r="O109" t="s">
        <v>30</v>
      </c>
      <c r="P109">
        <v>1</v>
      </c>
      <c r="Q109" t="s">
        <v>63</v>
      </c>
      <c r="R109" t="s">
        <v>64</v>
      </c>
      <c r="S109">
        <v>-25.7291858209148</v>
      </c>
      <c r="T109">
        <v>8.7575573416174706</v>
      </c>
    </row>
    <row r="110" spans="1:20">
      <c r="A110" t="s">
        <v>476</v>
      </c>
      <c r="B110" t="s">
        <v>477</v>
      </c>
      <c r="C110" t="s">
        <v>48</v>
      </c>
      <c r="D110">
        <v>38468.995291638297</v>
      </c>
      <c r="E110" s="9">
        <v>45722</v>
      </c>
      <c r="F110" t="s">
        <v>478</v>
      </c>
      <c r="G110" t="s">
        <v>68</v>
      </c>
      <c r="H110" t="s">
        <v>93</v>
      </c>
      <c r="I110" t="s">
        <v>75</v>
      </c>
      <c r="J110" t="s">
        <v>173</v>
      </c>
      <c r="K110" t="s">
        <v>479</v>
      </c>
      <c r="L110" t="s">
        <v>81</v>
      </c>
      <c r="M110">
        <v>4363.0104738719201</v>
      </c>
      <c r="N110">
        <v>429.16146943942903</v>
      </c>
      <c r="O110" t="s">
        <v>62</v>
      </c>
      <c r="P110">
        <v>0</v>
      </c>
      <c r="Q110" t="s">
        <v>95</v>
      </c>
      <c r="R110" t="s">
        <v>45</v>
      </c>
      <c r="S110">
        <v>-29.695271221456402</v>
      </c>
      <c r="T110">
        <v>88.278169962649699</v>
      </c>
    </row>
    <row r="111" spans="1:20">
      <c r="A111" t="s">
        <v>480</v>
      </c>
      <c r="B111" t="s">
        <v>223</v>
      </c>
      <c r="D111">
        <v>29954.474307580898</v>
      </c>
      <c r="E111" s="9">
        <v>45723</v>
      </c>
      <c r="F111" t="s">
        <v>481</v>
      </c>
      <c r="G111" t="s">
        <v>92</v>
      </c>
      <c r="H111" t="s">
        <v>74</v>
      </c>
      <c r="I111" t="s">
        <v>26</v>
      </c>
      <c r="J111" t="s">
        <v>27</v>
      </c>
      <c r="K111" t="s">
        <v>482</v>
      </c>
      <c r="L111" t="s">
        <v>29</v>
      </c>
      <c r="M111">
        <v>4117.1257704058298</v>
      </c>
      <c r="N111">
        <v>0</v>
      </c>
      <c r="O111" t="s">
        <v>101</v>
      </c>
      <c r="P111">
        <v>1</v>
      </c>
      <c r="R111" t="s">
        <v>32</v>
      </c>
      <c r="S111">
        <v>-4.9255509722754303</v>
      </c>
      <c r="T111">
        <v>88.7859349735553</v>
      </c>
    </row>
    <row r="112" spans="1:20">
      <c r="A112" t="s">
        <v>483</v>
      </c>
      <c r="B112" t="s">
        <v>334</v>
      </c>
      <c r="C112" t="s">
        <v>22</v>
      </c>
      <c r="D112">
        <v>23751.100077384799</v>
      </c>
      <c r="E112" s="9">
        <v>45725</v>
      </c>
      <c r="F112" t="s">
        <v>484</v>
      </c>
      <c r="G112" t="s">
        <v>59</v>
      </c>
      <c r="H112" t="s">
        <v>93</v>
      </c>
      <c r="I112" t="s">
        <v>51</v>
      </c>
      <c r="J112" t="s">
        <v>87</v>
      </c>
      <c r="K112" t="s">
        <v>485</v>
      </c>
      <c r="L112" t="s">
        <v>53</v>
      </c>
      <c r="M112">
        <v>4561.9978930359603</v>
      </c>
      <c r="N112">
        <v>0</v>
      </c>
      <c r="O112" t="s">
        <v>30</v>
      </c>
      <c r="P112">
        <v>4</v>
      </c>
      <c r="Q112" t="s">
        <v>95</v>
      </c>
      <c r="R112" t="s">
        <v>102</v>
      </c>
      <c r="S112">
        <v>-25.0357017907757</v>
      </c>
      <c r="T112">
        <v>56.039895381994299</v>
      </c>
    </row>
    <row r="113" spans="1:20">
      <c r="A113" t="s">
        <v>486</v>
      </c>
      <c r="B113" t="s">
        <v>234</v>
      </c>
      <c r="C113" t="s">
        <v>35</v>
      </c>
      <c r="D113">
        <v>31286.3017538475</v>
      </c>
      <c r="E113" s="9">
        <v>45729</v>
      </c>
      <c r="F113" t="s">
        <v>487</v>
      </c>
      <c r="G113" t="s">
        <v>59</v>
      </c>
      <c r="H113" t="s">
        <v>38</v>
      </c>
      <c r="I113" t="s">
        <v>51</v>
      </c>
      <c r="J113" t="s">
        <v>60</v>
      </c>
      <c r="K113" t="s">
        <v>488</v>
      </c>
      <c r="L113" t="s">
        <v>81</v>
      </c>
      <c r="M113">
        <v>1074.93256274601</v>
      </c>
      <c r="N113">
        <v>0</v>
      </c>
      <c r="O113" t="s">
        <v>54</v>
      </c>
      <c r="P113">
        <v>3</v>
      </c>
      <c r="Q113" t="s">
        <v>55</v>
      </c>
      <c r="R113" t="s">
        <v>45</v>
      </c>
      <c r="S113">
        <v>-8.6524123307404199</v>
      </c>
      <c r="T113">
        <v>73.244145913044903</v>
      </c>
    </row>
    <row r="114" spans="1:20">
      <c r="A114" t="s">
        <v>489</v>
      </c>
      <c r="B114" t="s">
        <v>490</v>
      </c>
      <c r="C114" t="s">
        <v>35</v>
      </c>
      <c r="D114">
        <v>16146.9799575334</v>
      </c>
      <c r="E114" s="9">
        <v>45729</v>
      </c>
      <c r="F114" t="s">
        <v>491</v>
      </c>
      <c r="G114" t="s">
        <v>59</v>
      </c>
      <c r="H114" t="s">
        <v>69</v>
      </c>
      <c r="I114" t="s">
        <v>26</v>
      </c>
      <c r="J114" t="s">
        <v>173</v>
      </c>
      <c r="K114" t="s">
        <v>492</v>
      </c>
      <c r="L114" t="s">
        <v>155</v>
      </c>
      <c r="M114">
        <v>4305.4139461476498</v>
      </c>
      <c r="N114">
        <v>0</v>
      </c>
      <c r="O114" t="s">
        <v>54</v>
      </c>
      <c r="P114">
        <v>2</v>
      </c>
      <c r="Q114" t="s">
        <v>63</v>
      </c>
      <c r="R114" t="s">
        <v>32</v>
      </c>
      <c r="S114">
        <v>7.4515243737762198</v>
      </c>
      <c r="T114">
        <v>3.1445955058947499</v>
      </c>
    </row>
    <row r="115" spans="1:20">
      <c r="A115" t="s">
        <v>493</v>
      </c>
      <c r="B115" t="s">
        <v>372</v>
      </c>
      <c r="C115" t="s">
        <v>35</v>
      </c>
      <c r="D115">
        <v>21396.7663763038</v>
      </c>
      <c r="E115" s="9">
        <v>45729</v>
      </c>
      <c r="F115" t="s">
        <v>494</v>
      </c>
      <c r="G115" t="s">
        <v>172</v>
      </c>
      <c r="H115" t="s">
        <v>69</v>
      </c>
      <c r="I115" t="s">
        <v>75</v>
      </c>
      <c r="J115" t="s">
        <v>87</v>
      </c>
      <c r="K115" t="s">
        <v>495</v>
      </c>
      <c r="L115" t="s">
        <v>53</v>
      </c>
      <c r="M115">
        <v>1833.95049826785</v>
      </c>
      <c r="N115">
        <v>355.17575035616602</v>
      </c>
      <c r="O115" t="s">
        <v>30</v>
      </c>
      <c r="P115">
        <v>1</v>
      </c>
      <c r="Q115" t="s">
        <v>31</v>
      </c>
      <c r="R115" t="s">
        <v>32</v>
      </c>
      <c r="S115">
        <v>-10.035950760968699</v>
      </c>
      <c r="T115">
        <v>81.108724620025797</v>
      </c>
    </row>
    <row r="116" spans="1:20">
      <c r="A116" t="s">
        <v>496</v>
      </c>
      <c r="B116" t="s">
        <v>497</v>
      </c>
      <c r="C116" t="s">
        <v>22</v>
      </c>
      <c r="D116">
        <v>30225.7044333339</v>
      </c>
      <c r="E116" s="9">
        <v>45729</v>
      </c>
      <c r="F116" t="s">
        <v>498</v>
      </c>
      <c r="G116" t="s">
        <v>172</v>
      </c>
      <c r="H116" t="s">
        <v>69</v>
      </c>
      <c r="I116" t="s">
        <v>75</v>
      </c>
      <c r="J116" t="s">
        <v>27</v>
      </c>
      <c r="K116" t="s">
        <v>499</v>
      </c>
      <c r="L116" t="s">
        <v>29</v>
      </c>
      <c r="M116">
        <v>4110.6042363286497</v>
      </c>
      <c r="N116">
        <v>414.09293466172602</v>
      </c>
      <c r="O116" t="s">
        <v>54</v>
      </c>
      <c r="P116">
        <v>0</v>
      </c>
      <c r="Q116" t="s">
        <v>31</v>
      </c>
      <c r="R116" t="s">
        <v>45</v>
      </c>
      <c r="S116">
        <v>-14.9407676210358</v>
      </c>
      <c r="T116">
        <v>22.427341824190499</v>
      </c>
    </row>
    <row r="117" spans="1:20">
      <c r="A117" t="s">
        <v>500</v>
      </c>
      <c r="B117" t="s">
        <v>501</v>
      </c>
      <c r="C117" t="s">
        <v>22</v>
      </c>
      <c r="D117">
        <v>16859.706271776799</v>
      </c>
      <c r="E117" s="9">
        <v>45730</v>
      </c>
      <c r="F117" t="s">
        <v>502</v>
      </c>
      <c r="G117" t="s">
        <v>68</v>
      </c>
      <c r="H117" t="s">
        <v>93</v>
      </c>
      <c r="I117" t="s">
        <v>26</v>
      </c>
      <c r="J117" t="s">
        <v>87</v>
      </c>
      <c r="K117" t="s">
        <v>503</v>
      </c>
      <c r="L117" t="s">
        <v>42</v>
      </c>
      <c r="M117">
        <v>253.28745531250701</v>
      </c>
      <c r="N117">
        <v>0</v>
      </c>
      <c r="O117" t="s">
        <v>43</v>
      </c>
      <c r="P117">
        <v>0</v>
      </c>
      <c r="Q117" t="s">
        <v>55</v>
      </c>
      <c r="R117" t="s">
        <v>32</v>
      </c>
      <c r="S117">
        <v>24.0868097723028</v>
      </c>
      <c r="T117">
        <v>89.789810477425206</v>
      </c>
    </row>
    <row r="118" spans="1:20">
      <c r="A118" t="s">
        <v>504</v>
      </c>
      <c r="B118" t="s">
        <v>505</v>
      </c>
      <c r="C118" t="s">
        <v>48</v>
      </c>
      <c r="D118">
        <v>29279.828686862798</v>
      </c>
      <c r="E118" s="9">
        <v>45730</v>
      </c>
      <c r="F118" t="s">
        <v>506</v>
      </c>
      <c r="G118" t="s">
        <v>68</v>
      </c>
      <c r="H118" t="s">
        <v>93</v>
      </c>
      <c r="I118" t="s">
        <v>75</v>
      </c>
      <c r="J118" t="s">
        <v>173</v>
      </c>
      <c r="K118" t="s">
        <v>507</v>
      </c>
      <c r="L118" t="s">
        <v>120</v>
      </c>
      <c r="M118">
        <v>1255.6770730299299</v>
      </c>
      <c r="N118">
        <v>343.61717173034202</v>
      </c>
      <c r="O118" t="s">
        <v>101</v>
      </c>
      <c r="P118">
        <v>0</v>
      </c>
      <c r="Q118" t="s">
        <v>44</v>
      </c>
      <c r="R118" t="s">
        <v>102</v>
      </c>
      <c r="S118">
        <v>7.4375705659208604</v>
      </c>
      <c r="T118">
        <v>75.596584893124799</v>
      </c>
    </row>
    <row r="119" spans="1:20">
      <c r="A119" t="s">
        <v>508</v>
      </c>
      <c r="B119" t="s">
        <v>349</v>
      </c>
      <c r="C119" t="s">
        <v>48</v>
      </c>
      <c r="D119">
        <v>26639.688236439899</v>
      </c>
      <c r="E119" s="9">
        <v>45731</v>
      </c>
      <c r="F119" t="s">
        <v>509</v>
      </c>
      <c r="G119" t="s">
        <v>163</v>
      </c>
      <c r="H119" t="s">
        <v>25</v>
      </c>
      <c r="I119" t="s">
        <v>51</v>
      </c>
      <c r="J119" t="s">
        <v>27</v>
      </c>
      <c r="K119" t="s">
        <v>510</v>
      </c>
      <c r="L119" t="s">
        <v>53</v>
      </c>
      <c r="M119">
        <v>4048.9349461357101</v>
      </c>
      <c r="N119">
        <v>0</v>
      </c>
      <c r="O119" t="s">
        <v>101</v>
      </c>
      <c r="P119">
        <v>2</v>
      </c>
      <c r="Q119" t="s">
        <v>63</v>
      </c>
      <c r="R119" t="s">
        <v>102</v>
      </c>
      <c r="S119">
        <v>-7.5875822211422701</v>
      </c>
      <c r="T119">
        <v>67.054050650609099</v>
      </c>
    </row>
    <row r="120" spans="1:20">
      <c r="A120" t="s">
        <v>511</v>
      </c>
      <c r="B120" t="s">
        <v>455</v>
      </c>
      <c r="C120" t="s">
        <v>48</v>
      </c>
      <c r="D120">
        <v>7041.8980877387903</v>
      </c>
      <c r="E120" s="9">
        <v>45732</v>
      </c>
      <c r="F120" t="s">
        <v>512</v>
      </c>
      <c r="G120" t="s">
        <v>24</v>
      </c>
      <c r="H120" t="s">
        <v>25</v>
      </c>
      <c r="I120" t="s">
        <v>26</v>
      </c>
      <c r="J120" t="s">
        <v>60</v>
      </c>
      <c r="K120" t="s">
        <v>513</v>
      </c>
      <c r="L120" t="s">
        <v>53</v>
      </c>
      <c r="M120">
        <v>3333.6445433726699</v>
      </c>
      <c r="N120">
        <v>345.82170098665898</v>
      </c>
      <c r="O120" t="s">
        <v>54</v>
      </c>
      <c r="P120">
        <v>3</v>
      </c>
      <c r="Q120" t="s">
        <v>55</v>
      </c>
      <c r="R120" t="s">
        <v>102</v>
      </c>
      <c r="S120">
        <v>10.5319421172034</v>
      </c>
      <c r="T120">
        <v>3.33231994395085</v>
      </c>
    </row>
    <row r="121" spans="1:20">
      <c r="A121" t="s">
        <v>514</v>
      </c>
      <c r="B121" t="s">
        <v>308</v>
      </c>
      <c r="C121" t="s">
        <v>48</v>
      </c>
      <c r="D121">
        <v>40057.4135971574</v>
      </c>
      <c r="E121" s="9">
        <v>45733</v>
      </c>
      <c r="F121" t="s">
        <v>515</v>
      </c>
      <c r="G121" t="s">
        <v>24</v>
      </c>
      <c r="H121" t="s">
        <v>106</v>
      </c>
      <c r="I121" t="s">
        <v>26</v>
      </c>
      <c r="J121" t="s">
        <v>87</v>
      </c>
      <c r="K121" t="s">
        <v>516</v>
      </c>
      <c r="L121" t="s">
        <v>29</v>
      </c>
      <c r="M121">
        <v>1542.2421443210601</v>
      </c>
      <c r="N121">
        <v>465.33612778119902</v>
      </c>
      <c r="O121" t="s">
        <v>62</v>
      </c>
      <c r="P121">
        <v>4</v>
      </c>
      <c r="Q121" t="s">
        <v>55</v>
      </c>
      <c r="R121" t="s">
        <v>64</v>
      </c>
      <c r="S121">
        <v>12.179503568809199</v>
      </c>
      <c r="T121">
        <v>9.4953647418331002</v>
      </c>
    </row>
    <row r="122" spans="1:20">
      <c r="A122" t="s">
        <v>517</v>
      </c>
      <c r="B122" t="s">
        <v>66</v>
      </c>
      <c r="C122" t="s">
        <v>22</v>
      </c>
      <c r="D122">
        <v>49437.566219576598</v>
      </c>
      <c r="E122" s="9">
        <v>45734</v>
      </c>
      <c r="F122" t="s">
        <v>518</v>
      </c>
      <c r="G122" t="s">
        <v>92</v>
      </c>
      <c r="H122" t="s">
        <v>106</v>
      </c>
      <c r="I122" t="s">
        <v>26</v>
      </c>
      <c r="J122" t="s">
        <v>40</v>
      </c>
      <c r="K122" t="s">
        <v>519</v>
      </c>
      <c r="L122" t="s">
        <v>155</v>
      </c>
      <c r="M122">
        <v>3472.5094846901002</v>
      </c>
      <c r="N122">
        <v>0</v>
      </c>
      <c r="O122" t="s">
        <v>30</v>
      </c>
      <c r="P122">
        <v>0</v>
      </c>
      <c r="Q122" t="s">
        <v>44</v>
      </c>
      <c r="R122" t="s">
        <v>82</v>
      </c>
      <c r="S122">
        <v>20.542280029099299</v>
      </c>
      <c r="T122">
        <v>96.881644148337699</v>
      </c>
    </row>
    <row r="123" spans="1:20">
      <c r="A123" t="s">
        <v>520</v>
      </c>
      <c r="B123" t="s">
        <v>57</v>
      </c>
      <c r="C123" t="s">
        <v>85</v>
      </c>
      <c r="D123">
        <v>39996.902832883803</v>
      </c>
      <c r="E123" s="9">
        <v>45734</v>
      </c>
      <c r="F123" t="s">
        <v>521</v>
      </c>
      <c r="G123" t="s">
        <v>68</v>
      </c>
      <c r="H123" t="s">
        <v>74</v>
      </c>
      <c r="I123" t="s">
        <v>99</v>
      </c>
      <c r="J123" t="s">
        <v>60</v>
      </c>
      <c r="K123" t="s">
        <v>522</v>
      </c>
      <c r="L123" t="s">
        <v>29</v>
      </c>
      <c r="M123">
        <v>4300.86907770159</v>
      </c>
      <c r="N123">
        <v>231.99270872019</v>
      </c>
      <c r="O123" t="s">
        <v>43</v>
      </c>
      <c r="P123">
        <v>0</v>
      </c>
      <c r="R123" t="s">
        <v>102</v>
      </c>
      <c r="S123">
        <v>19.4902295637444</v>
      </c>
      <c r="T123">
        <v>29.363239175987399</v>
      </c>
    </row>
    <row r="124" spans="1:20">
      <c r="A124" t="s">
        <v>523</v>
      </c>
      <c r="B124" t="s">
        <v>524</v>
      </c>
      <c r="C124" t="s">
        <v>48</v>
      </c>
      <c r="D124">
        <v>24093.765206644799</v>
      </c>
      <c r="E124" s="9">
        <v>45736</v>
      </c>
      <c r="F124" t="s">
        <v>525</v>
      </c>
      <c r="G124" t="s">
        <v>24</v>
      </c>
      <c r="H124" t="s">
        <v>25</v>
      </c>
      <c r="I124" t="s">
        <v>26</v>
      </c>
      <c r="J124" t="s">
        <v>27</v>
      </c>
      <c r="K124" t="s">
        <v>526</v>
      </c>
      <c r="L124" t="s">
        <v>120</v>
      </c>
      <c r="M124">
        <v>3459.6119927704399</v>
      </c>
      <c r="N124">
        <v>0</v>
      </c>
      <c r="O124" t="s">
        <v>54</v>
      </c>
      <c r="P124">
        <v>2</v>
      </c>
      <c r="Q124" t="s">
        <v>63</v>
      </c>
      <c r="R124" t="s">
        <v>32</v>
      </c>
      <c r="S124">
        <v>4.7859874460563896</v>
      </c>
      <c r="T124">
        <v>56.4194791798745</v>
      </c>
    </row>
    <row r="125" spans="1:20">
      <c r="A125" t="s">
        <v>527</v>
      </c>
      <c r="B125" t="s">
        <v>528</v>
      </c>
      <c r="C125" t="s">
        <v>48</v>
      </c>
      <c r="D125">
        <v>28318.866531416399</v>
      </c>
      <c r="E125" s="9">
        <v>45736</v>
      </c>
      <c r="F125" t="s">
        <v>529</v>
      </c>
      <c r="G125" t="s">
        <v>59</v>
      </c>
      <c r="H125" t="s">
        <v>25</v>
      </c>
      <c r="I125" t="s">
        <v>26</v>
      </c>
      <c r="J125" t="s">
        <v>40</v>
      </c>
      <c r="K125" t="s">
        <v>530</v>
      </c>
      <c r="L125" t="s">
        <v>81</v>
      </c>
      <c r="M125">
        <v>4398.1585220725601</v>
      </c>
      <c r="N125">
        <v>0</v>
      </c>
      <c r="O125" t="s">
        <v>30</v>
      </c>
      <c r="P125">
        <v>0</v>
      </c>
      <c r="Q125" t="s">
        <v>95</v>
      </c>
      <c r="R125" t="s">
        <v>133</v>
      </c>
      <c r="S125">
        <v>25.319248557910399</v>
      </c>
      <c r="T125">
        <v>90.585019209879604</v>
      </c>
    </row>
    <row r="126" spans="1:20">
      <c r="A126" t="s">
        <v>531</v>
      </c>
      <c r="B126" t="s">
        <v>241</v>
      </c>
      <c r="C126" t="s">
        <v>22</v>
      </c>
      <c r="D126">
        <v>43362.988624575002</v>
      </c>
      <c r="E126" s="9">
        <v>45737</v>
      </c>
      <c r="F126" t="s">
        <v>532</v>
      </c>
      <c r="G126" t="s">
        <v>24</v>
      </c>
      <c r="H126" t="s">
        <v>69</v>
      </c>
      <c r="I126" t="s">
        <v>51</v>
      </c>
      <c r="J126" t="s">
        <v>40</v>
      </c>
      <c r="K126" t="s">
        <v>533</v>
      </c>
      <c r="L126" t="s">
        <v>53</v>
      </c>
      <c r="M126">
        <v>4456.6712778890696</v>
      </c>
      <c r="N126">
        <v>12.322202318161301</v>
      </c>
      <c r="O126" t="s">
        <v>62</v>
      </c>
      <c r="P126">
        <v>0</v>
      </c>
      <c r="Q126" t="s">
        <v>55</v>
      </c>
      <c r="R126" t="s">
        <v>64</v>
      </c>
      <c r="S126">
        <v>-4.1003871513729901</v>
      </c>
      <c r="T126">
        <v>97.742294771374802</v>
      </c>
    </row>
    <row r="127" spans="1:20">
      <c r="A127" t="s">
        <v>534</v>
      </c>
      <c r="B127" t="s">
        <v>535</v>
      </c>
      <c r="C127" t="s">
        <v>35</v>
      </c>
      <c r="D127">
        <v>34878.376972084399</v>
      </c>
      <c r="E127" s="9">
        <v>45738</v>
      </c>
      <c r="F127" t="s">
        <v>536</v>
      </c>
      <c r="G127" t="s">
        <v>181</v>
      </c>
      <c r="H127" t="s">
        <v>93</v>
      </c>
      <c r="I127" t="s">
        <v>51</v>
      </c>
      <c r="J127" t="s">
        <v>27</v>
      </c>
      <c r="K127" t="s">
        <v>537</v>
      </c>
      <c r="L127" t="s">
        <v>53</v>
      </c>
      <c r="M127">
        <v>3744.4962773505399</v>
      </c>
      <c r="N127">
        <v>0</v>
      </c>
      <c r="O127" t="s">
        <v>101</v>
      </c>
      <c r="P127">
        <v>1</v>
      </c>
      <c r="Q127" t="s">
        <v>63</v>
      </c>
      <c r="R127" t="s">
        <v>64</v>
      </c>
      <c r="S127">
        <v>-25.611449431303001</v>
      </c>
      <c r="T127">
        <v>17.964531586413202</v>
      </c>
    </row>
    <row r="128" spans="1:20">
      <c r="A128" t="s">
        <v>538</v>
      </c>
      <c r="B128" t="s">
        <v>353</v>
      </c>
      <c r="C128" t="s">
        <v>85</v>
      </c>
      <c r="D128">
        <v>26763.8791239702</v>
      </c>
      <c r="E128" s="9">
        <v>45739</v>
      </c>
      <c r="F128" t="s">
        <v>539</v>
      </c>
      <c r="G128" t="s">
        <v>92</v>
      </c>
      <c r="H128" t="s">
        <v>69</v>
      </c>
      <c r="I128" t="s">
        <v>75</v>
      </c>
      <c r="J128" t="s">
        <v>87</v>
      </c>
      <c r="K128" t="s">
        <v>540</v>
      </c>
      <c r="L128" t="s">
        <v>155</v>
      </c>
      <c r="M128">
        <v>1815.0280634565499</v>
      </c>
      <c r="N128">
        <v>144.863991869107</v>
      </c>
      <c r="O128" t="s">
        <v>101</v>
      </c>
      <c r="P128">
        <v>2</v>
      </c>
      <c r="Q128" t="s">
        <v>63</v>
      </c>
      <c r="R128" t="s">
        <v>102</v>
      </c>
      <c r="S128">
        <v>1.4492800616853601</v>
      </c>
      <c r="T128">
        <v>22.208218820898999</v>
      </c>
    </row>
    <row r="129" spans="1:20">
      <c r="A129" t="s">
        <v>541</v>
      </c>
      <c r="B129" t="s">
        <v>542</v>
      </c>
      <c r="C129" t="s">
        <v>85</v>
      </c>
      <c r="D129">
        <v>24764.265121899702</v>
      </c>
      <c r="E129" s="9">
        <v>45739</v>
      </c>
      <c r="F129" t="s">
        <v>543</v>
      </c>
      <c r="G129" t="s">
        <v>68</v>
      </c>
      <c r="H129" t="s">
        <v>74</v>
      </c>
      <c r="I129" t="s">
        <v>39</v>
      </c>
      <c r="J129" t="s">
        <v>173</v>
      </c>
      <c r="K129" t="s">
        <v>544</v>
      </c>
      <c r="L129" t="s">
        <v>120</v>
      </c>
      <c r="M129">
        <v>4686.78655147478</v>
      </c>
      <c r="N129">
        <v>331.11607916479602</v>
      </c>
      <c r="O129" t="s">
        <v>54</v>
      </c>
      <c r="P129">
        <v>3</v>
      </c>
      <c r="Q129" t="s">
        <v>31</v>
      </c>
      <c r="R129" t="s">
        <v>32</v>
      </c>
      <c r="S129">
        <v>23.0240033298832</v>
      </c>
      <c r="T129">
        <v>9.2345838945432206</v>
      </c>
    </row>
    <row r="130" spans="1:20">
      <c r="A130" t="s">
        <v>545</v>
      </c>
      <c r="B130" t="s">
        <v>34</v>
      </c>
      <c r="C130" t="s">
        <v>22</v>
      </c>
      <c r="D130">
        <v>2499.92273380798</v>
      </c>
      <c r="E130" s="9">
        <v>45739</v>
      </c>
      <c r="F130" t="s">
        <v>546</v>
      </c>
      <c r="G130" t="s">
        <v>59</v>
      </c>
      <c r="H130" t="s">
        <v>69</v>
      </c>
      <c r="I130" t="s">
        <v>26</v>
      </c>
      <c r="J130" t="s">
        <v>27</v>
      </c>
      <c r="K130" t="s">
        <v>547</v>
      </c>
      <c r="L130" t="s">
        <v>155</v>
      </c>
      <c r="M130">
        <v>2023.28034635467</v>
      </c>
      <c r="N130">
        <v>0</v>
      </c>
      <c r="O130" t="s">
        <v>101</v>
      </c>
      <c r="P130">
        <v>4</v>
      </c>
      <c r="Q130" t="s">
        <v>31</v>
      </c>
      <c r="R130" t="s">
        <v>32</v>
      </c>
      <c r="S130">
        <v>-26.972665762792602</v>
      </c>
      <c r="T130">
        <v>63.247220241147701</v>
      </c>
    </row>
    <row r="131" spans="1:20">
      <c r="A131" t="s">
        <v>548</v>
      </c>
      <c r="B131" t="s">
        <v>549</v>
      </c>
      <c r="C131" t="s">
        <v>48</v>
      </c>
      <c r="D131">
        <v>48729.908533423601</v>
      </c>
      <c r="E131" s="9">
        <v>45741</v>
      </c>
      <c r="F131" t="s">
        <v>550</v>
      </c>
      <c r="G131" t="s">
        <v>50</v>
      </c>
      <c r="H131" t="s">
        <v>69</v>
      </c>
      <c r="I131" t="s">
        <v>75</v>
      </c>
      <c r="J131" t="s">
        <v>60</v>
      </c>
      <c r="K131" t="s">
        <v>551</v>
      </c>
      <c r="L131" t="s">
        <v>155</v>
      </c>
      <c r="M131">
        <v>3325.43403513267</v>
      </c>
      <c r="N131">
        <v>0</v>
      </c>
      <c r="O131" t="s">
        <v>62</v>
      </c>
      <c r="P131">
        <v>1</v>
      </c>
      <c r="Q131" t="s">
        <v>95</v>
      </c>
      <c r="R131" t="s">
        <v>82</v>
      </c>
      <c r="S131">
        <v>4.9541345528886804</v>
      </c>
      <c r="T131">
        <v>3.5892751188932399</v>
      </c>
    </row>
    <row r="132" spans="1:20">
      <c r="A132" t="s">
        <v>552</v>
      </c>
      <c r="B132" t="s">
        <v>84</v>
      </c>
      <c r="C132" t="s">
        <v>48</v>
      </c>
      <c r="D132">
        <v>29688.848972415199</v>
      </c>
      <c r="E132" s="9">
        <v>45741</v>
      </c>
      <c r="F132" t="s">
        <v>553</v>
      </c>
      <c r="G132" t="s">
        <v>68</v>
      </c>
      <c r="H132" t="s">
        <v>106</v>
      </c>
      <c r="I132" t="s">
        <v>26</v>
      </c>
      <c r="J132" t="s">
        <v>173</v>
      </c>
      <c r="K132" t="s">
        <v>554</v>
      </c>
      <c r="L132" t="s">
        <v>120</v>
      </c>
      <c r="M132">
        <v>1141.5184963264101</v>
      </c>
      <c r="N132">
        <v>0</v>
      </c>
      <c r="O132" t="s">
        <v>54</v>
      </c>
      <c r="P132">
        <v>0</v>
      </c>
      <c r="Q132" t="s">
        <v>31</v>
      </c>
      <c r="R132" t="s">
        <v>82</v>
      </c>
      <c r="S132">
        <v>-29.188963698016799</v>
      </c>
      <c r="T132">
        <v>25.008246891394201</v>
      </c>
    </row>
    <row r="133" spans="1:20">
      <c r="A133" t="s">
        <v>555</v>
      </c>
      <c r="B133" t="s">
        <v>84</v>
      </c>
      <c r="C133" t="s">
        <v>85</v>
      </c>
      <c r="D133">
        <v>5301.9236059852901</v>
      </c>
      <c r="E133" s="9">
        <v>45741</v>
      </c>
      <c r="F133" t="s">
        <v>556</v>
      </c>
      <c r="G133" t="s">
        <v>92</v>
      </c>
      <c r="H133" t="s">
        <v>93</v>
      </c>
      <c r="I133" t="s">
        <v>75</v>
      </c>
      <c r="J133" t="s">
        <v>87</v>
      </c>
      <c r="K133" t="s">
        <v>557</v>
      </c>
      <c r="L133" t="s">
        <v>81</v>
      </c>
      <c r="M133">
        <v>3544.48337107103</v>
      </c>
      <c r="N133">
        <v>52.156543675941101</v>
      </c>
      <c r="O133" t="s">
        <v>43</v>
      </c>
      <c r="P133">
        <v>2</v>
      </c>
      <c r="Q133" t="s">
        <v>95</v>
      </c>
      <c r="R133" t="s">
        <v>82</v>
      </c>
      <c r="S133">
        <v>9.2862428161252897</v>
      </c>
      <c r="T133">
        <v>1.4515094527608801</v>
      </c>
    </row>
    <row r="134" spans="1:20">
      <c r="A134" t="s">
        <v>558</v>
      </c>
      <c r="B134" t="s">
        <v>166</v>
      </c>
      <c r="C134" t="s">
        <v>22</v>
      </c>
      <c r="D134">
        <v>23606.166089421298</v>
      </c>
      <c r="E134" s="9">
        <v>45741</v>
      </c>
      <c r="F134" t="s">
        <v>559</v>
      </c>
      <c r="G134" t="s">
        <v>68</v>
      </c>
      <c r="H134" t="s">
        <v>38</v>
      </c>
      <c r="I134" t="s">
        <v>26</v>
      </c>
      <c r="J134" t="s">
        <v>60</v>
      </c>
      <c r="K134" t="s">
        <v>560</v>
      </c>
      <c r="L134" t="s">
        <v>155</v>
      </c>
      <c r="M134">
        <v>182.99488752242999</v>
      </c>
      <c r="N134">
        <v>213.447363911651</v>
      </c>
      <c r="O134" t="s">
        <v>101</v>
      </c>
      <c r="P134">
        <v>2</v>
      </c>
      <c r="Q134" t="s">
        <v>63</v>
      </c>
      <c r="R134" t="s">
        <v>102</v>
      </c>
      <c r="S134">
        <v>-29.519511559573001</v>
      </c>
      <c r="T134">
        <v>27.052178017184701</v>
      </c>
    </row>
    <row r="135" spans="1:20">
      <c r="A135" t="s">
        <v>561</v>
      </c>
      <c r="B135" t="s">
        <v>562</v>
      </c>
      <c r="C135" t="s">
        <v>22</v>
      </c>
      <c r="D135">
        <v>18899.274599903201</v>
      </c>
      <c r="E135" s="9">
        <v>45743</v>
      </c>
      <c r="F135" t="s">
        <v>563</v>
      </c>
      <c r="G135" t="s">
        <v>37</v>
      </c>
      <c r="H135" t="s">
        <v>25</v>
      </c>
      <c r="I135" t="s">
        <v>75</v>
      </c>
      <c r="J135" t="s">
        <v>27</v>
      </c>
      <c r="K135" t="s">
        <v>564</v>
      </c>
      <c r="L135" t="s">
        <v>53</v>
      </c>
      <c r="M135">
        <v>1081.57788941074</v>
      </c>
      <c r="N135">
        <v>0</v>
      </c>
      <c r="O135" t="s">
        <v>30</v>
      </c>
      <c r="P135">
        <v>2</v>
      </c>
      <c r="R135" t="s">
        <v>45</v>
      </c>
      <c r="S135">
        <v>-26.503481906365501</v>
      </c>
      <c r="T135">
        <v>22.377838627097599</v>
      </c>
    </row>
    <row r="136" spans="1:20">
      <c r="A136" t="s">
        <v>565</v>
      </c>
      <c r="B136" t="s">
        <v>566</v>
      </c>
      <c r="C136" t="s">
        <v>85</v>
      </c>
      <c r="D136">
        <v>27630.957503441099</v>
      </c>
      <c r="E136" s="9">
        <v>45743</v>
      </c>
      <c r="F136" t="s">
        <v>567</v>
      </c>
      <c r="G136" t="s">
        <v>163</v>
      </c>
      <c r="H136" t="s">
        <v>69</v>
      </c>
      <c r="I136" t="s">
        <v>99</v>
      </c>
      <c r="J136" t="s">
        <v>87</v>
      </c>
      <c r="K136" t="s">
        <v>568</v>
      </c>
      <c r="L136" t="s">
        <v>81</v>
      </c>
      <c r="M136">
        <v>68.993870263614397</v>
      </c>
      <c r="N136">
        <v>0</v>
      </c>
      <c r="O136" t="s">
        <v>43</v>
      </c>
      <c r="P136">
        <v>3</v>
      </c>
      <c r="Q136" t="s">
        <v>95</v>
      </c>
      <c r="R136" t="s">
        <v>133</v>
      </c>
      <c r="S136">
        <v>20.5769995883464</v>
      </c>
      <c r="T136">
        <v>44.510666371799402</v>
      </c>
    </row>
    <row r="137" spans="1:20">
      <c r="A137" t="s">
        <v>569</v>
      </c>
      <c r="B137" t="s">
        <v>281</v>
      </c>
      <c r="C137" t="s">
        <v>22</v>
      </c>
      <c r="D137">
        <v>31897.855831495399</v>
      </c>
      <c r="E137" s="9">
        <v>45744</v>
      </c>
      <c r="F137" t="s">
        <v>570</v>
      </c>
      <c r="G137" t="s">
        <v>50</v>
      </c>
      <c r="H137" t="s">
        <v>38</v>
      </c>
      <c r="I137" t="s">
        <v>99</v>
      </c>
      <c r="J137" t="s">
        <v>40</v>
      </c>
      <c r="K137" t="s">
        <v>571</v>
      </c>
      <c r="L137" t="s">
        <v>155</v>
      </c>
      <c r="M137">
        <v>1434.1997765413701</v>
      </c>
      <c r="N137">
        <v>0</v>
      </c>
      <c r="O137" t="s">
        <v>43</v>
      </c>
      <c r="P137">
        <v>4</v>
      </c>
      <c r="Q137" t="s">
        <v>63</v>
      </c>
      <c r="R137" t="s">
        <v>102</v>
      </c>
      <c r="S137">
        <v>-9.0248882529364796</v>
      </c>
      <c r="T137">
        <v>39.672760046838597</v>
      </c>
    </row>
    <row r="138" spans="1:20">
      <c r="A138" t="s">
        <v>572</v>
      </c>
      <c r="B138" t="s">
        <v>372</v>
      </c>
      <c r="C138" t="s">
        <v>85</v>
      </c>
      <c r="D138">
        <v>45038.557831695703</v>
      </c>
      <c r="E138" s="9">
        <v>45744</v>
      </c>
      <c r="F138" t="s">
        <v>573</v>
      </c>
      <c r="G138" t="s">
        <v>37</v>
      </c>
      <c r="H138" t="s">
        <v>69</v>
      </c>
      <c r="I138" t="s">
        <v>51</v>
      </c>
      <c r="J138" t="s">
        <v>27</v>
      </c>
      <c r="K138" t="s">
        <v>574</v>
      </c>
      <c r="L138" t="s">
        <v>120</v>
      </c>
      <c r="M138">
        <v>3419.3282474674002</v>
      </c>
      <c r="N138">
        <v>0</v>
      </c>
      <c r="O138" t="s">
        <v>54</v>
      </c>
      <c r="P138">
        <v>2</v>
      </c>
      <c r="Q138" t="s">
        <v>95</v>
      </c>
      <c r="R138" t="s">
        <v>82</v>
      </c>
      <c r="S138">
        <v>25.999765146980799</v>
      </c>
      <c r="T138">
        <v>13.698222230952799</v>
      </c>
    </row>
    <row r="139" spans="1:20">
      <c r="A139" t="s">
        <v>575</v>
      </c>
      <c r="B139" t="s">
        <v>576</v>
      </c>
      <c r="C139" t="s">
        <v>22</v>
      </c>
      <c r="D139">
        <v>44881.777449962297</v>
      </c>
      <c r="E139" s="9">
        <v>45745</v>
      </c>
      <c r="F139" t="s">
        <v>577</v>
      </c>
      <c r="G139" t="s">
        <v>181</v>
      </c>
      <c r="H139" t="s">
        <v>38</v>
      </c>
      <c r="I139" t="s">
        <v>39</v>
      </c>
      <c r="J139" t="s">
        <v>27</v>
      </c>
      <c r="K139" t="s">
        <v>302</v>
      </c>
      <c r="L139" t="s">
        <v>42</v>
      </c>
      <c r="M139">
        <v>4389.2384437286601</v>
      </c>
      <c r="N139">
        <v>131.77573974838899</v>
      </c>
      <c r="O139" t="s">
        <v>43</v>
      </c>
      <c r="P139">
        <v>2</v>
      </c>
      <c r="Q139" t="s">
        <v>44</v>
      </c>
      <c r="R139" t="s">
        <v>133</v>
      </c>
      <c r="S139">
        <v>-26.693421603560001</v>
      </c>
      <c r="T139">
        <v>62.854403087886098</v>
      </c>
    </row>
    <row r="140" spans="1:20">
      <c r="A140" t="s">
        <v>578</v>
      </c>
      <c r="B140" t="s">
        <v>188</v>
      </c>
      <c r="C140" t="s">
        <v>85</v>
      </c>
      <c r="D140">
        <v>11737.4989363351</v>
      </c>
      <c r="E140" s="9">
        <v>45746</v>
      </c>
      <c r="F140" t="s">
        <v>579</v>
      </c>
      <c r="G140" t="s">
        <v>68</v>
      </c>
      <c r="H140" t="s">
        <v>93</v>
      </c>
      <c r="I140" t="s">
        <v>75</v>
      </c>
      <c r="J140" t="s">
        <v>87</v>
      </c>
      <c r="K140" t="s">
        <v>580</v>
      </c>
      <c r="L140" t="s">
        <v>81</v>
      </c>
      <c r="M140">
        <v>2934.0117978998101</v>
      </c>
      <c r="N140">
        <v>493.68423615609998</v>
      </c>
      <c r="O140" t="s">
        <v>54</v>
      </c>
      <c r="P140">
        <v>3</v>
      </c>
      <c r="Q140" t="s">
        <v>31</v>
      </c>
      <c r="R140" t="s">
        <v>45</v>
      </c>
      <c r="S140">
        <v>8.1563746044860199</v>
      </c>
      <c r="T140">
        <v>9.9985247483776707</v>
      </c>
    </row>
    <row r="141" spans="1:20">
      <c r="A141" t="s">
        <v>581</v>
      </c>
      <c r="B141" t="s">
        <v>582</v>
      </c>
      <c r="C141" t="s">
        <v>85</v>
      </c>
      <c r="D141">
        <v>16267.1040492293</v>
      </c>
      <c r="E141" s="9">
        <v>45747</v>
      </c>
      <c r="F141" t="s">
        <v>583</v>
      </c>
      <c r="G141" t="s">
        <v>59</v>
      </c>
      <c r="H141" t="s">
        <v>106</v>
      </c>
      <c r="I141" t="s">
        <v>39</v>
      </c>
      <c r="J141" t="s">
        <v>173</v>
      </c>
      <c r="K141" t="s">
        <v>584</v>
      </c>
      <c r="L141" t="s">
        <v>29</v>
      </c>
      <c r="M141">
        <v>1531.1984212902501</v>
      </c>
      <c r="N141">
        <v>0</v>
      </c>
      <c r="O141" t="s">
        <v>43</v>
      </c>
      <c r="P141">
        <v>0</v>
      </c>
      <c r="R141" t="s">
        <v>64</v>
      </c>
      <c r="S141">
        <v>10.6186051386617</v>
      </c>
      <c r="T141">
        <v>69.329746855149196</v>
      </c>
    </row>
    <row r="142" spans="1:20">
      <c r="A142" t="s">
        <v>585</v>
      </c>
      <c r="B142" t="s">
        <v>166</v>
      </c>
      <c r="C142" t="s">
        <v>48</v>
      </c>
      <c r="D142">
        <v>40312.657848383104</v>
      </c>
      <c r="E142" s="9">
        <v>45747</v>
      </c>
      <c r="F142" t="s">
        <v>586</v>
      </c>
      <c r="G142" t="s">
        <v>141</v>
      </c>
      <c r="H142" t="s">
        <v>38</v>
      </c>
      <c r="I142" t="s">
        <v>99</v>
      </c>
      <c r="J142" t="s">
        <v>173</v>
      </c>
      <c r="K142" t="s">
        <v>587</v>
      </c>
      <c r="L142" t="s">
        <v>155</v>
      </c>
      <c r="M142">
        <v>729.94064254493696</v>
      </c>
      <c r="N142">
        <v>0</v>
      </c>
      <c r="O142" t="s">
        <v>54</v>
      </c>
      <c r="P142">
        <v>3</v>
      </c>
      <c r="Q142" t="s">
        <v>44</v>
      </c>
      <c r="R142" t="s">
        <v>45</v>
      </c>
      <c r="S142">
        <v>21.508215155895801</v>
      </c>
      <c r="T142">
        <v>5.4787047923548799</v>
      </c>
    </row>
    <row r="143" spans="1:20">
      <c r="A143" t="s">
        <v>588</v>
      </c>
      <c r="B143" t="s">
        <v>589</v>
      </c>
      <c r="C143" t="s">
        <v>22</v>
      </c>
      <c r="D143">
        <v>38585.208759134897</v>
      </c>
      <c r="E143" s="9">
        <v>45749</v>
      </c>
      <c r="F143" t="s">
        <v>590</v>
      </c>
      <c r="G143" t="s">
        <v>92</v>
      </c>
      <c r="H143" t="s">
        <v>69</v>
      </c>
      <c r="I143" t="s">
        <v>39</v>
      </c>
      <c r="J143" t="s">
        <v>40</v>
      </c>
      <c r="K143" t="s">
        <v>591</v>
      </c>
      <c r="L143" t="s">
        <v>120</v>
      </c>
      <c r="M143">
        <v>3686.8074228118799</v>
      </c>
      <c r="N143">
        <v>0</v>
      </c>
      <c r="O143" t="s">
        <v>62</v>
      </c>
      <c r="P143">
        <v>1</v>
      </c>
      <c r="Q143" t="s">
        <v>31</v>
      </c>
      <c r="R143" t="s">
        <v>82</v>
      </c>
      <c r="S143">
        <v>13.0031151460585</v>
      </c>
      <c r="T143">
        <v>66.144781661310105</v>
      </c>
    </row>
    <row r="144" spans="1:20">
      <c r="A144" t="s">
        <v>592</v>
      </c>
      <c r="B144" t="s">
        <v>593</v>
      </c>
      <c r="C144" t="s">
        <v>85</v>
      </c>
      <c r="D144">
        <v>12769.039345760901</v>
      </c>
      <c r="E144" s="9">
        <v>45749</v>
      </c>
      <c r="F144" t="s">
        <v>594</v>
      </c>
      <c r="G144" t="s">
        <v>68</v>
      </c>
      <c r="H144" t="s">
        <v>25</v>
      </c>
      <c r="I144" t="s">
        <v>26</v>
      </c>
      <c r="J144" t="s">
        <v>27</v>
      </c>
      <c r="K144" t="s">
        <v>595</v>
      </c>
      <c r="L144" t="s">
        <v>42</v>
      </c>
      <c r="M144">
        <v>2534.9405788089498</v>
      </c>
      <c r="N144">
        <v>0</v>
      </c>
      <c r="O144" t="s">
        <v>43</v>
      </c>
      <c r="P144">
        <v>1</v>
      </c>
      <c r="Q144" t="s">
        <v>44</v>
      </c>
      <c r="R144" t="s">
        <v>45</v>
      </c>
      <c r="S144">
        <v>1.2273655283629801</v>
      </c>
      <c r="T144">
        <v>11.3135937674024</v>
      </c>
    </row>
    <row r="145" spans="1:20">
      <c r="A145" t="s">
        <v>596</v>
      </c>
      <c r="B145" t="s">
        <v>597</v>
      </c>
      <c r="C145" t="s">
        <v>22</v>
      </c>
      <c r="D145">
        <v>4455.7799615248096</v>
      </c>
      <c r="E145" s="9">
        <v>45749</v>
      </c>
      <c r="F145" t="s">
        <v>598</v>
      </c>
      <c r="G145" t="s">
        <v>50</v>
      </c>
      <c r="H145" t="s">
        <v>38</v>
      </c>
      <c r="I145" t="s">
        <v>99</v>
      </c>
      <c r="J145" t="s">
        <v>87</v>
      </c>
      <c r="K145" t="s">
        <v>599</v>
      </c>
      <c r="L145" t="s">
        <v>29</v>
      </c>
      <c r="M145">
        <v>411.367784853155</v>
      </c>
      <c r="N145">
        <v>0</v>
      </c>
      <c r="O145" t="s">
        <v>43</v>
      </c>
      <c r="P145">
        <v>2</v>
      </c>
      <c r="Q145" t="s">
        <v>55</v>
      </c>
      <c r="R145" t="s">
        <v>64</v>
      </c>
      <c r="S145">
        <v>25.7644539642124</v>
      </c>
      <c r="T145">
        <v>88.931875992831905</v>
      </c>
    </row>
    <row r="146" spans="1:20">
      <c r="A146" t="s">
        <v>600</v>
      </c>
      <c r="B146" t="s">
        <v>21</v>
      </c>
      <c r="C146" t="s">
        <v>35</v>
      </c>
      <c r="D146">
        <v>41870.241636081199</v>
      </c>
      <c r="E146" s="9">
        <v>45750</v>
      </c>
      <c r="F146" t="s">
        <v>601</v>
      </c>
      <c r="G146" t="s">
        <v>68</v>
      </c>
      <c r="H146" t="s">
        <v>25</v>
      </c>
      <c r="I146" t="s">
        <v>75</v>
      </c>
      <c r="J146" t="s">
        <v>173</v>
      </c>
      <c r="K146" t="s">
        <v>602</v>
      </c>
      <c r="L146" t="s">
        <v>81</v>
      </c>
      <c r="M146">
        <v>4264.4584520627996</v>
      </c>
      <c r="N146">
        <v>0</v>
      </c>
      <c r="O146" t="s">
        <v>101</v>
      </c>
      <c r="P146">
        <v>3</v>
      </c>
      <c r="Q146" t="s">
        <v>63</v>
      </c>
      <c r="R146" t="s">
        <v>102</v>
      </c>
      <c r="S146">
        <v>-10.523472114183299</v>
      </c>
      <c r="T146">
        <v>20.619707925520199</v>
      </c>
    </row>
    <row r="147" spans="1:20">
      <c r="A147" t="s">
        <v>603</v>
      </c>
      <c r="B147" t="s">
        <v>199</v>
      </c>
      <c r="C147" t="s">
        <v>85</v>
      </c>
      <c r="D147">
        <v>43189.555216586603</v>
      </c>
      <c r="E147" s="9">
        <v>45750</v>
      </c>
      <c r="F147" t="s">
        <v>604</v>
      </c>
      <c r="G147" t="s">
        <v>141</v>
      </c>
      <c r="H147" t="s">
        <v>93</v>
      </c>
      <c r="I147" t="s">
        <v>99</v>
      </c>
      <c r="J147" t="s">
        <v>60</v>
      </c>
      <c r="K147" t="s">
        <v>605</v>
      </c>
      <c r="L147" t="s">
        <v>81</v>
      </c>
      <c r="M147">
        <v>4635.2259707599196</v>
      </c>
      <c r="N147">
        <v>313.02735449040102</v>
      </c>
      <c r="O147" t="s">
        <v>54</v>
      </c>
      <c r="P147">
        <v>1</v>
      </c>
      <c r="Q147" t="s">
        <v>44</v>
      </c>
      <c r="R147" t="s">
        <v>64</v>
      </c>
      <c r="S147">
        <v>0.11041455333830499</v>
      </c>
      <c r="T147">
        <v>74.667096478663694</v>
      </c>
    </row>
    <row r="148" spans="1:20">
      <c r="A148" t="s">
        <v>606</v>
      </c>
      <c r="B148" t="s">
        <v>607</v>
      </c>
      <c r="C148" t="s">
        <v>35</v>
      </c>
      <c r="D148">
        <v>35731.5540695124</v>
      </c>
      <c r="E148" s="9">
        <v>45752</v>
      </c>
      <c r="F148" t="s">
        <v>608</v>
      </c>
      <c r="G148" t="s">
        <v>92</v>
      </c>
      <c r="H148" t="s">
        <v>69</v>
      </c>
      <c r="I148" t="s">
        <v>75</v>
      </c>
      <c r="J148" t="s">
        <v>87</v>
      </c>
      <c r="K148" t="s">
        <v>609</v>
      </c>
      <c r="L148" t="s">
        <v>42</v>
      </c>
      <c r="M148">
        <v>1265.4755984252299</v>
      </c>
      <c r="N148">
        <v>0</v>
      </c>
      <c r="O148" t="s">
        <v>30</v>
      </c>
      <c r="P148">
        <v>2</v>
      </c>
      <c r="R148" t="s">
        <v>32</v>
      </c>
      <c r="S148">
        <v>-12.0682086727879</v>
      </c>
      <c r="T148">
        <v>44.676983446825197</v>
      </c>
    </row>
    <row r="149" spans="1:20">
      <c r="A149" t="s">
        <v>610</v>
      </c>
      <c r="B149" t="s">
        <v>281</v>
      </c>
      <c r="C149" t="s">
        <v>35</v>
      </c>
      <c r="D149">
        <v>31204.294290159</v>
      </c>
      <c r="E149" s="9">
        <v>45753</v>
      </c>
      <c r="F149" t="s">
        <v>611</v>
      </c>
      <c r="G149" t="s">
        <v>37</v>
      </c>
      <c r="H149" t="s">
        <v>106</v>
      </c>
      <c r="I149" t="s">
        <v>99</v>
      </c>
      <c r="J149" t="s">
        <v>87</v>
      </c>
      <c r="K149" t="s">
        <v>612</v>
      </c>
      <c r="L149" t="s">
        <v>120</v>
      </c>
      <c r="M149">
        <v>1566.0260406728401</v>
      </c>
      <c r="N149">
        <v>0</v>
      </c>
      <c r="O149" t="s">
        <v>54</v>
      </c>
      <c r="P149">
        <v>0</v>
      </c>
      <c r="Q149" t="s">
        <v>95</v>
      </c>
      <c r="R149" t="s">
        <v>133</v>
      </c>
      <c r="S149">
        <v>-18.255238227110102</v>
      </c>
      <c r="T149">
        <v>26.9052228742163</v>
      </c>
    </row>
    <row r="150" spans="1:20">
      <c r="A150" t="s">
        <v>613</v>
      </c>
      <c r="B150" t="s">
        <v>576</v>
      </c>
      <c r="C150" t="s">
        <v>35</v>
      </c>
      <c r="D150">
        <v>49025.089982109603</v>
      </c>
      <c r="E150" s="9">
        <v>45753</v>
      </c>
      <c r="F150" t="s">
        <v>614</v>
      </c>
      <c r="G150" t="s">
        <v>68</v>
      </c>
      <c r="H150" t="s">
        <v>38</v>
      </c>
      <c r="I150" t="s">
        <v>75</v>
      </c>
      <c r="J150" t="s">
        <v>173</v>
      </c>
      <c r="K150" t="s">
        <v>615</v>
      </c>
      <c r="L150" t="s">
        <v>155</v>
      </c>
      <c r="M150">
        <v>1652.4675867716001</v>
      </c>
      <c r="N150">
        <v>158.45206886031201</v>
      </c>
      <c r="O150" t="s">
        <v>30</v>
      </c>
      <c r="P150">
        <v>1</v>
      </c>
      <c r="Q150" t="s">
        <v>31</v>
      </c>
      <c r="R150" t="s">
        <v>64</v>
      </c>
      <c r="S150">
        <v>-23.2038148161189</v>
      </c>
      <c r="T150">
        <v>18.949014589960399</v>
      </c>
    </row>
    <row r="151" spans="1:20">
      <c r="A151" t="s">
        <v>616</v>
      </c>
      <c r="B151" t="s">
        <v>459</v>
      </c>
      <c r="C151" t="s">
        <v>48</v>
      </c>
      <c r="D151">
        <v>13809.116671592899</v>
      </c>
      <c r="E151" s="9">
        <v>45755</v>
      </c>
      <c r="F151" t="s">
        <v>617</v>
      </c>
      <c r="G151" t="s">
        <v>37</v>
      </c>
      <c r="H151" t="s">
        <v>25</v>
      </c>
      <c r="I151" t="s">
        <v>99</v>
      </c>
      <c r="J151" t="s">
        <v>40</v>
      </c>
      <c r="K151" t="s">
        <v>618</v>
      </c>
      <c r="L151" t="s">
        <v>53</v>
      </c>
      <c r="M151">
        <v>1901.0383156713799</v>
      </c>
      <c r="N151">
        <v>0</v>
      </c>
      <c r="O151" t="s">
        <v>54</v>
      </c>
      <c r="P151">
        <v>3</v>
      </c>
      <c r="Q151" t="s">
        <v>55</v>
      </c>
      <c r="R151" t="s">
        <v>32</v>
      </c>
      <c r="S151">
        <v>20.301174242940998</v>
      </c>
      <c r="T151">
        <v>37.430599340632497</v>
      </c>
    </row>
    <row r="152" spans="1:20">
      <c r="A152" t="s">
        <v>619</v>
      </c>
      <c r="B152" t="s">
        <v>535</v>
      </c>
      <c r="C152" t="s">
        <v>22</v>
      </c>
      <c r="D152">
        <v>32476.259730549598</v>
      </c>
      <c r="E152" s="9">
        <v>45755</v>
      </c>
      <c r="F152" t="s">
        <v>620</v>
      </c>
      <c r="G152" t="s">
        <v>50</v>
      </c>
      <c r="H152" t="s">
        <v>38</v>
      </c>
      <c r="I152" t="s">
        <v>51</v>
      </c>
      <c r="J152" t="s">
        <v>60</v>
      </c>
      <c r="K152" t="s">
        <v>621</v>
      </c>
      <c r="L152" t="s">
        <v>120</v>
      </c>
      <c r="M152">
        <v>328.00194902139998</v>
      </c>
      <c r="N152">
        <v>0</v>
      </c>
      <c r="O152" t="s">
        <v>30</v>
      </c>
      <c r="P152">
        <v>0</v>
      </c>
      <c r="Q152" t="s">
        <v>55</v>
      </c>
      <c r="R152" t="s">
        <v>82</v>
      </c>
      <c r="S152">
        <v>-12.399082399794599</v>
      </c>
      <c r="T152">
        <v>79.578673117650197</v>
      </c>
    </row>
    <row r="153" spans="1:20">
      <c r="A153" t="s">
        <v>622</v>
      </c>
      <c r="B153" t="s">
        <v>281</v>
      </c>
      <c r="C153" t="s">
        <v>22</v>
      </c>
      <c r="D153">
        <v>34389.558719626199</v>
      </c>
      <c r="E153" s="9">
        <v>45756</v>
      </c>
      <c r="F153" t="s">
        <v>623</v>
      </c>
      <c r="G153" t="s">
        <v>181</v>
      </c>
      <c r="H153" t="s">
        <v>38</v>
      </c>
      <c r="I153" t="s">
        <v>99</v>
      </c>
      <c r="J153" t="s">
        <v>87</v>
      </c>
      <c r="K153" t="s">
        <v>624</v>
      </c>
      <c r="L153" t="s">
        <v>42</v>
      </c>
      <c r="M153">
        <v>1555.9972259446199</v>
      </c>
      <c r="N153">
        <v>146.95838025246701</v>
      </c>
      <c r="O153" t="s">
        <v>30</v>
      </c>
      <c r="P153">
        <v>0</v>
      </c>
      <c r="Q153" t="s">
        <v>31</v>
      </c>
      <c r="R153" t="s">
        <v>133</v>
      </c>
      <c r="S153">
        <v>-19.452971050177101</v>
      </c>
      <c r="T153">
        <v>16.939649963157901</v>
      </c>
    </row>
    <row r="154" spans="1:20">
      <c r="A154" t="s">
        <v>625</v>
      </c>
      <c r="B154" t="s">
        <v>353</v>
      </c>
      <c r="C154" t="s">
        <v>48</v>
      </c>
      <c r="D154">
        <v>11444.8140531964</v>
      </c>
      <c r="E154" s="9">
        <v>45756</v>
      </c>
      <c r="F154" t="s">
        <v>626</v>
      </c>
      <c r="G154" t="s">
        <v>59</v>
      </c>
      <c r="H154" t="s">
        <v>106</v>
      </c>
      <c r="I154" t="s">
        <v>75</v>
      </c>
      <c r="J154" t="s">
        <v>173</v>
      </c>
      <c r="K154" t="s">
        <v>627</v>
      </c>
      <c r="L154" t="s">
        <v>53</v>
      </c>
      <c r="M154">
        <v>1011.65417645892</v>
      </c>
      <c r="N154">
        <v>0</v>
      </c>
      <c r="O154" t="s">
        <v>62</v>
      </c>
      <c r="P154">
        <v>1</v>
      </c>
      <c r="R154" t="s">
        <v>64</v>
      </c>
      <c r="S154">
        <v>-9.0117987293052408</v>
      </c>
      <c r="T154">
        <v>13.174379963196399</v>
      </c>
    </row>
    <row r="155" spans="1:20">
      <c r="A155" t="s">
        <v>628</v>
      </c>
      <c r="B155" t="s">
        <v>629</v>
      </c>
      <c r="C155" t="s">
        <v>35</v>
      </c>
      <c r="D155">
        <v>37975.888692388602</v>
      </c>
      <c r="E155" s="9">
        <v>45757</v>
      </c>
      <c r="F155" t="s">
        <v>630</v>
      </c>
      <c r="G155" t="s">
        <v>50</v>
      </c>
      <c r="H155" t="s">
        <v>25</v>
      </c>
      <c r="I155" t="s">
        <v>39</v>
      </c>
      <c r="J155" t="s">
        <v>27</v>
      </c>
      <c r="K155" t="s">
        <v>631</v>
      </c>
      <c r="L155" t="s">
        <v>155</v>
      </c>
      <c r="M155">
        <v>1281.65418374866</v>
      </c>
      <c r="N155">
        <v>419.419668382635</v>
      </c>
      <c r="O155" t="s">
        <v>30</v>
      </c>
      <c r="P155">
        <v>2</v>
      </c>
      <c r="Q155" t="s">
        <v>63</v>
      </c>
      <c r="R155" t="s">
        <v>32</v>
      </c>
      <c r="S155">
        <v>-28.2857449365594</v>
      </c>
      <c r="T155">
        <v>12.2628049978007</v>
      </c>
    </row>
    <row r="156" spans="1:20">
      <c r="A156" t="s">
        <v>632</v>
      </c>
      <c r="B156" t="s">
        <v>285</v>
      </c>
      <c r="C156" t="s">
        <v>48</v>
      </c>
      <c r="D156">
        <v>16784.704284393101</v>
      </c>
      <c r="E156" s="9">
        <v>45759</v>
      </c>
      <c r="F156" t="s">
        <v>633</v>
      </c>
      <c r="G156" t="s">
        <v>50</v>
      </c>
      <c r="H156" t="s">
        <v>38</v>
      </c>
      <c r="I156" t="s">
        <v>51</v>
      </c>
      <c r="J156" t="s">
        <v>173</v>
      </c>
      <c r="K156" t="s">
        <v>634</v>
      </c>
      <c r="L156" t="s">
        <v>29</v>
      </c>
      <c r="M156">
        <v>1239.08619438151</v>
      </c>
      <c r="N156">
        <v>0</v>
      </c>
      <c r="O156" t="s">
        <v>43</v>
      </c>
      <c r="P156">
        <v>0</v>
      </c>
      <c r="R156" t="s">
        <v>64</v>
      </c>
      <c r="S156">
        <v>-21.0910090196829</v>
      </c>
      <c r="T156">
        <v>31.600472286639398</v>
      </c>
    </row>
    <row r="157" spans="1:20">
      <c r="A157" t="s">
        <v>635</v>
      </c>
      <c r="B157" t="s">
        <v>636</v>
      </c>
      <c r="C157" t="s">
        <v>85</v>
      </c>
      <c r="D157">
        <v>48136.200995888197</v>
      </c>
      <c r="E157" s="9">
        <v>45760</v>
      </c>
      <c r="F157" t="s">
        <v>637</v>
      </c>
      <c r="G157" t="s">
        <v>68</v>
      </c>
      <c r="H157" t="s">
        <v>74</v>
      </c>
      <c r="I157" t="s">
        <v>39</v>
      </c>
      <c r="J157" t="s">
        <v>87</v>
      </c>
      <c r="K157" t="s">
        <v>638</v>
      </c>
      <c r="L157" t="s">
        <v>42</v>
      </c>
      <c r="M157">
        <v>4155.4564932047497</v>
      </c>
      <c r="N157">
        <v>323.15496682869099</v>
      </c>
      <c r="O157" t="s">
        <v>101</v>
      </c>
      <c r="P157">
        <v>4</v>
      </c>
      <c r="Q157" t="s">
        <v>63</v>
      </c>
      <c r="R157" t="s">
        <v>82</v>
      </c>
      <c r="S157">
        <v>20.014446578744199</v>
      </c>
      <c r="T157">
        <v>66.350206940525695</v>
      </c>
    </row>
    <row r="158" spans="1:20">
      <c r="A158" t="s">
        <v>639</v>
      </c>
      <c r="B158" t="s">
        <v>126</v>
      </c>
      <c r="C158" t="s">
        <v>48</v>
      </c>
      <c r="D158">
        <v>45666.971037656403</v>
      </c>
      <c r="E158" s="9">
        <v>45760</v>
      </c>
      <c r="F158" t="s">
        <v>640</v>
      </c>
      <c r="G158" t="s">
        <v>181</v>
      </c>
      <c r="H158" t="s">
        <v>38</v>
      </c>
      <c r="I158" t="s">
        <v>99</v>
      </c>
      <c r="J158" t="s">
        <v>40</v>
      </c>
      <c r="K158" t="s">
        <v>641</v>
      </c>
      <c r="L158" t="s">
        <v>53</v>
      </c>
      <c r="M158">
        <v>249.43028138598399</v>
      </c>
      <c r="N158">
        <v>0</v>
      </c>
      <c r="O158" t="s">
        <v>62</v>
      </c>
      <c r="P158">
        <v>4</v>
      </c>
      <c r="Q158" t="s">
        <v>31</v>
      </c>
      <c r="R158" t="s">
        <v>133</v>
      </c>
      <c r="S158">
        <v>-27.721441945823599</v>
      </c>
      <c r="T158">
        <v>60.8350046531679</v>
      </c>
    </row>
    <row r="159" spans="1:20">
      <c r="A159" t="s">
        <v>642</v>
      </c>
      <c r="B159" t="s">
        <v>117</v>
      </c>
      <c r="C159" t="s">
        <v>48</v>
      </c>
      <c r="D159">
        <v>29251.554287236999</v>
      </c>
      <c r="E159" s="9">
        <v>45762</v>
      </c>
      <c r="F159" t="s">
        <v>643</v>
      </c>
      <c r="G159" t="s">
        <v>181</v>
      </c>
      <c r="H159" t="s">
        <v>38</v>
      </c>
      <c r="I159" t="s">
        <v>39</v>
      </c>
      <c r="J159" t="s">
        <v>87</v>
      </c>
      <c r="K159" t="s">
        <v>644</v>
      </c>
      <c r="L159" t="s">
        <v>29</v>
      </c>
      <c r="M159">
        <v>2661.4400625471299</v>
      </c>
      <c r="N159">
        <v>0</v>
      </c>
      <c r="O159" t="s">
        <v>101</v>
      </c>
      <c r="P159">
        <v>3</v>
      </c>
      <c r="Q159" t="s">
        <v>31</v>
      </c>
      <c r="R159" t="s">
        <v>82</v>
      </c>
      <c r="S159">
        <v>-3.6833138436213799</v>
      </c>
      <c r="T159">
        <v>0.65254104288869896</v>
      </c>
    </row>
    <row r="160" spans="1:20">
      <c r="A160" t="s">
        <v>645</v>
      </c>
      <c r="B160" t="s">
        <v>399</v>
      </c>
      <c r="C160" t="s">
        <v>22</v>
      </c>
      <c r="D160">
        <v>23764.441704148401</v>
      </c>
      <c r="E160" s="9">
        <v>45762</v>
      </c>
      <c r="F160" t="s">
        <v>646</v>
      </c>
      <c r="G160" t="s">
        <v>68</v>
      </c>
      <c r="H160" t="s">
        <v>74</v>
      </c>
      <c r="I160" t="s">
        <v>99</v>
      </c>
      <c r="J160" t="s">
        <v>60</v>
      </c>
      <c r="K160" t="s">
        <v>647</v>
      </c>
      <c r="L160" t="s">
        <v>81</v>
      </c>
      <c r="M160">
        <v>1362.1523574759301</v>
      </c>
      <c r="N160">
        <v>0</v>
      </c>
      <c r="O160" t="s">
        <v>62</v>
      </c>
      <c r="P160">
        <v>2</v>
      </c>
      <c r="R160" t="s">
        <v>102</v>
      </c>
      <c r="S160">
        <v>19.604545714551399</v>
      </c>
      <c r="T160">
        <v>81.188964356831704</v>
      </c>
    </row>
    <row r="161" spans="1:20">
      <c r="A161" t="s">
        <v>648</v>
      </c>
      <c r="B161" t="s">
        <v>649</v>
      </c>
      <c r="C161" t="s">
        <v>48</v>
      </c>
      <c r="D161">
        <v>42421.591963797502</v>
      </c>
      <c r="E161" s="9">
        <v>45763</v>
      </c>
      <c r="F161" t="s">
        <v>650</v>
      </c>
      <c r="G161" t="s">
        <v>68</v>
      </c>
      <c r="H161" t="s">
        <v>38</v>
      </c>
      <c r="I161" t="s">
        <v>99</v>
      </c>
      <c r="J161" t="s">
        <v>173</v>
      </c>
      <c r="K161" t="s">
        <v>651</v>
      </c>
      <c r="L161" t="s">
        <v>29</v>
      </c>
      <c r="M161">
        <v>3991.6882839048999</v>
      </c>
      <c r="N161">
        <v>0</v>
      </c>
      <c r="O161" t="s">
        <v>54</v>
      </c>
      <c r="P161">
        <v>1</v>
      </c>
      <c r="R161" t="s">
        <v>64</v>
      </c>
      <c r="S161">
        <v>29.0239112398204</v>
      </c>
      <c r="T161">
        <v>87.992956363837393</v>
      </c>
    </row>
    <row r="162" spans="1:20">
      <c r="A162" t="s">
        <v>652</v>
      </c>
      <c r="B162" t="s">
        <v>241</v>
      </c>
      <c r="C162" t="s">
        <v>85</v>
      </c>
      <c r="D162">
        <v>229.491716743963</v>
      </c>
      <c r="E162" s="9">
        <v>45764</v>
      </c>
      <c r="F162" t="s">
        <v>653</v>
      </c>
      <c r="G162" t="s">
        <v>37</v>
      </c>
      <c r="H162" t="s">
        <v>74</v>
      </c>
      <c r="I162" t="s">
        <v>39</v>
      </c>
      <c r="J162" t="s">
        <v>87</v>
      </c>
      <c r="K162" t="s">
        <v>654</v>
      </c>
      <c r="L162" t="s">
        <v>42</v>
      </c>
      <c r="M162">
        <v>3198.4343445786799</v>
      </c>
      <c r="N162">
        <v>0</v>
      </c>
      <c r="O162" t="s">
        <v>43</v>
      </c>
      <c r="P162">
        <v>2</v>
      </c>
      <c r="Q162" t="s">
        <v>44</v>
      </c>
      <c r="R162" t="s">
        <v>64</v>
      </c>
      <c r="S162">
        <v>18.464357592042902</v>
      </c>
      <c r="T162">
        <v>97.430496311047705</v>
      </c>
    </row>
    <row r="163" spans="1:20">
      <c r="A163" t="s">
        <v>652</v>
      </c>
      <c r="B163" t="s">
        <v>241</v>
      </c>
      <c r="C163" t="s">
        <v>85</v>
      </c>
      <c r="D163">
        <v>229.491716743963</v>
      </c>
      <c r="E163" s="9">
        <v>45764</v>
      </c>
      <c r="F163" t="s">
        <v>653</v>
      </c>
      <c r="G163" t="s">
        <v>37</v>
      </c>
      <c r="H163" t="s">
        <v>74</v>
      </c>
      <c r="I163" t="s">
        <v>39</v>
      </c>
      <c r="J163" t="s">
        <v>87</v>
      </c>
      <c r="K163" t="s">
        <v>654</v>
      </c>
      <c r="L163" t="s">
        <v>42</v>
      </c>
      <c r="M163">
        <v>3198.4343445786799</v>
      </c>
      <c r="N163">
        <v>0</v>
      </c>
      <c r="O163" t="s">
        <v>43</v>
      </c>
      <c r="P163">
        <v>2</v>
      </c>
      <c r="Q163" t="s">
        <v>44</v>
      </c>
      <c r="R163" t="s">
        <v>64</v>
      </c>
      <c r="S163">
        <v>18.464357592042902</v>
      </c>
      <c r="T163">
        <v>97.430496311047705</v>
      </c>
    </row>
    <row r="164" spans="1:20">
      <c r="A164" t="s">
        <v>655</v>
      </c>
      <c r="B164" t="s">
        <v>656</v>
      </c>
      <c r="C164" t="s">
        <v>85</v>
      </c>
      <c r="D164">
        <v>12130.133133248601</v>
      </c>
      <c r="E164" s="9">
        <v>45765</v>
      </c>
      <c r="F164" t="s">
        <v>657</v>
      </c>
      <c r="G164" t="s">
        <v>68</v>
      </c>
      <c r="H164" t="s">
        <v>25</v>
      </c>
      <c r="I164" t="s">
        <v>51</v>
      </c>
      <c r="J164" t="s">
        <v>173</v>
      </c>
      <c r="K164" t="s">
        <v>658</v>
      </c>
      <c r="L164" t="s">
        <v>81</v>
      </c>
      <c r="M164">
        <v>4028.5884182582199</v>
      </c>
      <c r="N164">
        <v>205.572168239993</v>
      </c>
      <c r="O164" t="s">
        <v>30</v>
      </c>
      <c r="P164">
        <v>3</v>
      </c>
      <c r="Q164" t="s">
        <v>95</v>
      </c>
      <c r="R164" t="s">
        <v>102</v>
      </c>
      <c r="S164">
        <v>-27.4097825482235</v>
      </c>
      <c r="T164">
        <v>99.758259294597195</v>
      </c>
    </row>
    <row r="165" spans="1:20">
      <c r="A165" t="s">
        <v>659</v>
      </c>
      <c r="B165" t="s">
        <v>459</v>
      </c>
      <c r="C165" t="s">
        <v>35</v>
      </c>
      <c r="D165">
        <v>4511.57034594577</v>
      </c>
      <c r="E165" s="9">
        <v>45765</v>
      </c>
      <c r="F165" t="s">
        <v>660</v>
      </c>
      <c r="G165" t="s">
        <v>181</v>
      </c>
      <c r="H165" t="s">
        <v>74</v>
      </c>
      <c r="I165" t="s">
        <v>51</v>
      </c>
      <c r="J165" t="s">
        <v>173</v>
      </c>
      <c r="K165" t="s">
        <v>661</v>
      </c>
      <c r="L165" t="s">
        <v>53</v>
      </c>
      <c r="M165">
        <v>1072.5760302978099</v>
      </c>
      <c r="N165">
        <v>477.33317843953398</v>
      </c>
      <c r="O165" t="s">
        <v>43</v>
      </c>
      <c r="P165">
        <v>1</v>
      </c>
      <c r="R165" t="s">
        <v>82</v>
      </c>
      <c r="S165">
        <v>13.439349854141501</v>
      </c>
      <c r="T165">
        <v>60.251136357472902</v>
      </c>
    </row>
    <row r="166" spans="1:20">
      <c r="A166" t="s">
        <v>662</v>
      </c>
      <c r="B166" t="s">
        <v>663</v>
      </c>
      <c r="C166" t="s">
        <v>22</v>
      </c>
      <c r="D166">
        <v>5800.4725034277999</v>
      </c>
      <c r="E166" s="9">
        <v>45768</v>
      </c>
      <c r="F166" t="s">
        <v>664</v>
      </c>
      <c r="G166" t="s">
        <v>163</v>
      </c>
      <c r="H166" t="s">
        <v>93</v>
      </c>
      <c r="I166" t="s">
        <v>26</v>
      </c>
      <c r="J166" t="s">
        <v>40</v>
      </c>
      <c r="K166" t="s">
        <v>665</v>
      </c>
      <c r="L166" t="s">
        <v>120</v>
      </c>
      <c r="M166">
        <v>608.57377655892606</v>
      </c>
      <c r="N166">
        <v>0</v>
      </c>
      <c r="O166" t="s">
        <v>101</v>
      </c>
      <c r="P166">
        <v>0</v>
      </c>
      <c r="Q166" t="s">
        <v>95</v>
      </c>
      <c r="R166" t="s">
        <v>82</v>
      </c>
      <c r="S166">
        <v>21.231959611512199</v>
      </c>
      <c r="T166">
        <v>35.201658250187798</v>
      </c>
    </row>
    <row r="167" spans="1:20">
      <c r="A167" t="s">
        <v>666</v>
      </c>
      <c r="B167" t="s">
        <v>667</v>
      </c>
      <c r="C167" t="s">
        <v>85</v>
      </c>
      <c r="D167">
        <v>29456.503122173301</v>
      </c>
      <c r="E167" s="9">
        <v>45770</v>
      </c>
      <c r="F167" t="s">
        <v>668</v>
      </c>
      <c r="G167" t="s">
        <v>59</v>
      </c>
      <c r="H167" t="s">
        <v>74</v>
      </c>
      <c r="I167" t="s">
        <v>51</v>
      </c>
      <c r="J167" t="s">
        <v>173</v>
      </c>
      <c r="K167" t="s">
        <v>669</v>
      </c>
      <c r="L167" t="s">
        <v>120</v>
      </c>
      <c r="M167">
        <v>4959.8515199400799</v>
      </c>
      <c r="N167">
        <v>0</v>
      </c>
      <c r="O167" t="s">
        <v>43</v>
      </c>
      <c r="P167">
        <v>3</v>
      </c>
      <c r="R167" t="s">
        <v>102</v>
      </c>
      <c r="S167">
        <v>2.8443843600735099</v>
      </c>
      <c r="T167">
        <v>95.464016071623107</v>
      </c>
    </row>
    <row r="168" spans="1:20">
      <c r="A168" t="s">
        <v>670</v>
      </c>
      <c r="B168" t="s">
        <v>593</v>
      </c>
      <c r="C168" t="s">
        <v>48</v>
      </c>
      <c r="D168">
        <v>49863.051184942902</v>
      </c>
      <c r="E168" s="9">
        <v>45771</v>
      </c>
      <c r="F168" t="s">
        <v>671</v>
      </c>
      <c r="G168" t="s">
        <v>24</v>
      </c>
      <c r="H168" t="s">
        <v>74</v>
      </c>
      <c r="I168" t="s">
        <v>75</v>
      </c>
      <c r="J168" t="s">
        <v>60</v>
      </c>
      <c r="K168" t="s">
        <v>672</v>
      </c>
      <c r="L168" t="s">
        <v>42</v>
      </c>
      <c r="M168">
        <v>1592.2801109320301</v>
      </c>
      <c r="N168">
        <v>0</v>
      </c>
      <c r="O168" t="s">
        <v>54</v>
      </c>
      <c r="P168">
        <v>2</v>
      </c>
      <c r="Q168" t="s">
        <v>55</v>
      </c>
      <c r="R168" t="s">
        <v>133</v>
      </c>
      <c r="S168">
        <v>15.8786143568467</v>
      </c>
      <c r="T168">
        <v>95.959420502774094</v>
      </c>
    </row>
    <row r="169" spans="1:20">
      <c r="A169" t="s">
        <v>673</v>
      </c>
      <c r="B169" t="s">
        <v>674</v>
      </c>
      <c r="C169" t="s">
        <v>22</v>
      </c>
      <c r="D169">
        <v>24588.364085013302</v>
      </c>
      <c r="E169" s="9">
        <v>45772</v>
      </c>
      <c r="F169" t="s">
        <v>675</v>
      </c>
      <c r="G169" t="s">
        <v>59</v>
      </c>
      <c r="H169" t="s">
        <v>106</v>
      </c>
      <c r="I169" t="s">
        <v>26</v>
      </c>
      <c r="J169" t="s">
        <v>60</v>
      </c>
      <c r="K169" t="s">
        <v>676</v>
      </c>
      <c r="L169" t="s">
        <v>155</v>
      </c>
      <c r="M169">
        <v>2419.5890469293399</v>
      </c>
      <c r="N169">
        <v>137.332934893953</v>
      </c>
      <c r="O169" t="s">
        <v>101</v>
      </c>
      <c r="P169">
        <v>3</v>
      </c>
      <c r="Q169" t="s">
        <v>44</v>
      </c>
      <c r="R169" t="s">
        <v>64</v>
      </c>
      <c r="S169">
        <v>-20.125311317189801</v>
      </c>
      <c r="T169">
        <v>72.697791952843104</v>
      </c>
    </row>
    <row r="170" spans="1:20">
      <c r="A170" t="s">
        <v>677</v>
      </c>
      <c r="B170" t="s">
        <v>678</v>
      </c>
      <c r="C170" t="s">
        <v>35</v>
      </c>
      <c r="D170">
        <v>30199.550368631299</v>
      </c>
      <c r="E170" s="9">
        <v>45773</v>
      </c>
      <c r="F170" t="s">
        <v>679</v>
      </c>
      <c r="G170" t="s">
        <v>59</v>
      </c>
      <c r="H170" t="s">
        <v>69</v>
      </c>
      <c r="I170" t="s">
        <v>39</v>
      </c>
      <c r="J170" t="s">
        <v>40</v>
      </c>
      <c r="K170" t="s">
        <v>680</v>
      </c>
      <c r="L170" t="s">
        <v>155</v>
      </c>
      <c r="M170">
        <v>1345.66794566569</v>
      </c>
      <c r="N170">
        <v>0</v>
      </c>
      <c r="O170" t="s">
        <v>54</v>
      </c>
      <c r="P170">
        <v>0</v>
      </c>
      <c r="Q170" t="s">
        <v>63</v>
      </c>
      <c r="R170" t="s">
        <v>32</v>
      </c>
      <c r="S170">
        <v>15.6363948834037</v>
      </c>
      <c r="T170">
        <v>99.189285731964205</v>
      </c>
    </row>
    <row r="171" spans="1:20">
      <c r="A171" t="s">
        <v>681</v>
      </c>
      <c r="B171" t="s">
        <v>72</v>
      </c>
      <c r="C171" t="s">
        <v>48</v>
      </c>
      <c r="D171">
        <v>17641.8540405975</v>
      </c>
      <c r="E171" s="9">
        <v>45774</v>
      </c>
      <c r="F171" t="s">
        <v>682</v>
      </c>
      <c r="G171" t="s">
        <v>68</v>
      </c>
      <c r="H171" t="s">
        <v>38</v>
      </c>
      <c r="I171" t="s">
        <v>39</v>
      </c>
      <c r="J171" t="s">
        <v>60</v>
      </c>
      <c r="K171" t="s">
        <v>683</v>
      </c>
      <c r="L171" t="s">
        <v>120</v>
      </c>
      <c r="M171">
        <v>1004.70931501359</v>
      </c>
      <c r="N171">
        <v>0</v>
      </c>
      <c r="O171" t="s">
        <v>62</v>
      </c>
      <c r="P171">
        <v>2</v>
      </c>
      <c r="Q171" t="s">
        <v>63</v>
      </c>
      <c r="R171" t="s">
        <v>64</v>
      </c>
      <c r="S171">
        <v>-12.455094966945101</v>
      </c>
      <c r="T171">
        <v>5.2756614832090802</v>
      </c>
    </row>
    <row r="172" spans="1:20">
      <c r="A172" t="s">
        <v>684</v>
      </c>
      <c r="B172" t="s">
        <v>685</v>
      </c>
      <c r="C172" t="s">
        <v>48</v>
      </c>
      <c r="D172">
        <v>15565.8526208037</v>
      </c>
      <c r="E172" s="9">
        <v>45774</v>
      </c>
      <c r="F172" t="s">
        <v>686</v>
      </c>
      <c r="G172" t="s">
        <v>181</v>
      </c>
      <c r="H172" t="s">
        <v>69</v>
      </c>
      <c r="I172" t="s">
        <v>99</v>
      </c>
      <c r="J172" t="s">
        <v>60</v>
      </c>
      <c r="K172" t="s">
        <v>687</v>
      </c>
      <c r="L172" t="s">
        <v>42</v>
      </c>
      <c r="M172">
        <v>4275.5900172584998</v>
      </c>
      <c r="N172">
        <v>305.188029890846</v>
      </c>
      <c r="O172" t="s">
        <v>62</v>
      </c>
      <c r="P172">
        <v>4</v>
      </c>
      <c r="Q172" t="s">
        <v>31</v>
      </c>
      <c r="R172" t="s">
        <v>133</v>
      </c>
      <c r="S172">
        <v>0.79020097983386295</v>
      </c>
      <c r="T172">
        <v>30.9559301513073</v>
      </c>
    </row>
    <row r="173" spans="1:20">
      <c r="A173" t="s">
        <v>688</v>
      </c>
      <c r="B173" t="s">
        <v>582</v>
      </c>
      <c r="C173" t="s">
        <v>35</v>
      </c>
      <c r="D173">
        <v>28497.165311370802</v>
      </c>
      <c r="E173" s="9">
        <v>45774</v>
      </c>
      <c r="F173" t="s">
        <v>689</v>
      </c>
      <c r="G173" t="s">
        <v>92</v>
      </c>
      <c r="H173" t="s">
        <v>74</v>
      </c>
      <c r="I173" t="s">
        <v>26</v>
      </c>
      <c r="J173" t="s">
        <v>60</v>
      </c>
      <c r="K173" t="s">
        <v>690</v>
      </c>
      <c r="L173" t="s">
        <v>42</v>
      </c>
      <c r="M173">
        <v>332.72995868369401</v>
      </c>
      <c r="N173">
        <v>62.821746206157002</v>
      </c>
      <c r="O173" t="s">
        <v>30</v>
      </c>
      <c r="P173">
        <v>2</v>
      </c>
      <c r="Q173" t="s">
        <v>55</v>
      </c>
      <c r="R173" t="s">
        <v>133</v>
      </c>
      <c r="S173">
        <v>-29.460080563004599</v>
      </c>
      <c r="T173">
        <v>73.427203053071494</v>
      </c>
    </row>
    <row r="174" spans="1:20">
      <c r="A174" t="s">
        <v>691</v>
      </c>
      <c r="B174" t="s">
        <v>692</v>
      </c>
      <c r="C174" t="s">
        <v>48</v>
      </c>
      <c r="D174">
        <v>7086.92507915641</v>
      </c>
      <c r="E174" s="9">
        <v>45776</v>
      </c>
      <c r="F174" t="s">
        <v>693</v>
      </c>
      <c r="G174" t="s">
        <v>59</v>
      </c>
      <c r="H174" t="s">
        <v>25</v>
      </c>
      <c r="I174" t="s">
        <v>26</v>
      </c>
      <c r="J174" t="s">
        <v>60</v>
      </c>
      <c r="K174" t="s">
        <v>694</v>
      </c>
      <c r="L174" t="s">
        <v>120</v>
      </c>
      <c r="M174">
        <v>4696.6374451014699</v>
      </c>
      <c r="N174">
        <v>0</v>
      </c>
      <c r="O174" t="s">
        <v>30</v>
      </c>
      <c r="P174">
        <v>1</v>
      </c>
      <c r="Q174" t="s">
        <v>44</v>
      </c>
      <c r="R174" t="s">
        <v>82</v>
      </c>
      <c r="S174">
        <v>28.2909814082483</v>
      </c>
      <c r="T174">
        <v>34.534397792633001</v>
      </c>
    </row>
    <row r="175" spans="1:20">
      <c r="A175" t="s">
        <v>695</v>
      </c>
      <c r="B175" t="s">
        <v>589</v>
      </c>
      <c r="C175" t="s">
        <v>22</v>
      </c>
      <c r="D175">
        <v>35731.797702958298</v>
      </c>
      <c r="E175" s="9">
        <v>45777</v>
      </c>
      <c r="F175" t="s">
        <v>696</v>
      </c>
      <c r="G175" t="s">
        <v>172</v>
      </c>
      <c r="H175" t="s">
        <v>106</v>
      </c>
      <c r="I175" t="s">
        <v>99</v>
      </c>
      <c r="J175" t="s">
        <v>27</v>
      </c>
      <c r="K175" t="s">
        <v>697</v>
      </c>
      <c r="L175" t="s">
        <v>155</v>
      </c>
      <c r="M175">
        <v>900.78873507282503</v>
      </c>
      <c r="N175">
        <v>0</v>
      </c>
      <c r="O175" t="s">
        <v>101</v>
      </c>
      <c r="P175">
        <v>3</v>
      </c>
      <c r="Q175" t="s">
        <v>31</v>
      </c>
      <c r="R175" t="s">
        <v>102</v>
      </c>
      <c r="S175">
        <v>6.4617542098564797</v>
      </c>
      <c r="T175">
        <v>54.098623552808398</v>
      </c>
    </row>
    <row r="176" spans="1:20">
      <c r="A176" t="s">
        <v>698</v>
      </c>
      <c r="B176" t="s">
        <v>47</v>
      </c>
      <c r="C176" t="s">
        <v>48</v>
      </c>
      <c r="D176">
        <v>26813.244644374601</v>
      </c>
      <c r="E176" s="9">
        <v>45777</v>
      </c>
      <c r="F176" t="s">
        <v>699</v>
      </c>
      <c r="G176" t="s">
        <v>24</v>
      </c>
      <c r="H176" t="s">
        <v>69</v>
      </c>
      <c r="I176" t="s">
        <v>26</v>
      </c>
      <c r="J176" t="s">
        <v>173</v>
      </c>
      <c r="K176" t="s">
        <v>700</v>
      </c>
      <c r="L176" t="s">
        <v>120</v>
      </c>
      <c r="M176">
        <v>4889.0703037079602</v>
      </c>
      <c r="N176">
        <v>0</v>
      </c>
      <c r="O176" t="s">
        <v>30</v>
      </c>
      <c r="P176">
        <v>0</v>
      </c>
      <c r="Q176" t="s">
        <v>95</v>
      </c>
      <c r="R176" t="s">
        <v>64</v>
      </c>
      <c r="S176">
        <v>14.0585993389865</v>
      </c>
      <c r="T176">
        <v>71.126582471045296</v>
      </c>
    </row>
    <row r="177" spans="1:20">
      <c r="A177" t="s">
        <v>701</v>
      </c>
      <c r="B177" t="s">
        <v>702</v>
      </c>
      <c r="C177" t="s">
        <v>85</v>
      </c>
      <c r="D177">
        <v>31698.714668056899</v>
      </c>
      <c r="E177" s="9">
        <v>45779</v>
      </c>
      <c r="F177" t="s">
        <v>703</v>
      </c>
      <c r="G177" t="s">
        <v>24</v>
      </c>
      <c r="H177" t="s">
        <v>69</v>
      </c>
      <c r="I177" t="s">
        <v>26</v>
      </c>
      <c r="J177" t="s">
        <v>60</v>
      </c>
      <c r="K177" t="s">
        <v>704</v>
      </c>
      <c r="L177" t="s">
        <v>120</v>
      </c>
      <c r="M177">
        <v>1595.3498247426201</v>
      </c>
      <c r="N177">
        <v>0</v>
      </c>
      <c r="O177" t="s">
        <v>43</v>
      </c>
      <c r="P177">
        <v>4</v>
      </c>
      <c r="Q177" t="s">
        <v>44</v>
      </c>
      <c r="R177" t="s">
        <v>64</v>
      </c>
      <c r="S177">
        <v>-24.3605442350039</v>
      </c>
      <c r="T177">
        <v>82.645365245497999</v>
      </c>
    </row>
    <row r="178" spans="1:20">
      <c r="A178" t="s">
        <v>705</v>
      </c>
      <c r="B178" t="s">
        <v>706</v>
      </c>
      <c r="C178" t="s">
        <v>85</v>
      </c>
      <c r="D178">
        <v>40771.215977282598</v>
      </c>
      <c r="E178" s="9">
        <v>45779</v>
      </c>
      <c r="F178" t="s">
        <v>707</v>
      </c>
      <c r="G178" t="s">
        <v>92</v>
      </c>
      <c r="H178" t="s">
        <v>69</v>
      </c>
      <c r="I178" t="s">
        <v>51</v>
      </c>
      <c r="J178" t="s">
        <v>40</v>
      </c>
      <c r="K178" t="s">
        <v>708</v>
      </c>
      <c r="L178" t="s">
        <v>155</v>
      </c>
      <c r="M178">
        <v>159.32493424084001</v>
      </c>
      <c r="N178">
        <v>180.02995096536301</v>
      </c>
      <c r="O178" t="s">
        <v>43</v>
      </c>
      <c r="P178">
        <v>0</v>
      </c>
      <c r="R178" t="s">
        <v>32</v>
      </c>
      <c r="S178">
        <v>-17.236382032183599</v>
      </c>
      <c r="T178">
        <v>96.111826802164003</v>
      </c>
    </row>
    <row r="179" spans="1:20">
      <c r="A179" t="s">
        <v>709</v>
      </c>
      <c r="B179" t="s">
        <v>455</v>
      </c>
      <c r="C179" t="s">
        <v>48</v>
      </c>
      <c r="D179">
        <v>27931.339070926799</v>
      </c>
      <c r="E179" s="9">
        <v>45780</v>
      </c>
      <c r="F179" t="s">
        <v>710</v>
      </c>
      <c r="G179" t="s">
        <v>163</v>
      </c>
      <c r="H179" t="s">
        <v>69</v>
      </c>
      <c r="I179" t="s">
        <v>51</v>
      </c>
      <c r="J179" t="s">
        <v>87</v>
      </c>
      <c r="K179" t="s">
        <v>711</v>
      </c>
      <c r="L179" t="s">
        <v>155</v>
      </c>
      <c r="M179">
        <v>878.92573536404302</v>
      </c>
      <c r="N179">
        <v>0</v>
      </c>
      <c r="O179" t="s">
        <v>101</v>
      </c>
      <c r="P179">
        <v>1</v>
      </c>
      <c r="R179" t="s">
        <v>102</v>
      </c>
      <c r="S179">
        <v>-4.7800014340894501</v>
      </c>
      <c r="T179">
        <v>1.5853545373567</v>
      </c>
    </row>
    <row r="180" spans="1:20">
      <c r="A180" t="s">
        <v>712</v>
      </c>
      <c r="B180" t="s">
        <v>713</v>
      </c>
      <c r="C180" t="s">
        <v>35</v>
      </c>
      <c r="D180">
        <v>35226.912143411602</v>
      </c>
      <c r="E180" s="9">
        <v>45780</v>
      </c>
      <c r="F180" t="s">
        <v>714</v>
      </c>
      <c r="G180" t="s">
        <v>172</v>
      </c>
      <c r="H180" t="s">
        <v>74</v>
      </c>
      <c r="I180" t="s">
        <v>26</v>
      </c>
      <c r="J180" t="s">
        <v>40</v>
      </c>
      <c r="K180" t="s">
        <v>715</v>
      </c>
      <c r="L180" t="s">
        <v>81</v>
      </c>
      <c r="M180">
        <v>3026.8511499083902</v>
      </c>
      <c r="N180">
        <v>491.24129030062397</v>
      </c>
      <c r="O180" t="s">
        <v>62</v>
      </c>
      <c r="P180">
        <v>2</v>
      </c>
      <c r="Q180" t="s">
        <v>55</v>
      </c>
      <c r="R180" t="s">
        <v>45</v>
      </c>
      <c r="S180">
        <v>20.733071729814</v>
      </c>
      <c r="T180">
        <v>58.6459512374798</v>
      </c>
    </row>
    <row r="181" spans="1:20">
      <c r="A181" t="s">
        <v>716</v>
      </c>
      <c r="B181" t="s">
        <v>717</v>
      </c>
      <c r="C181" t="s">
        <v>22</v>
      </c>
      <c r="D181">
        <v>11344.106605855201</v>
      </c>
      <c r="E181" s="9">
        <v>45781</v>
      </c>
      <c r="F181" t="s">
        <v>718</v>
      </c>
      <c r="G181" t="s">
        <v>24</v>
      </c>
      <c r="H181" t="s">
        <v>93</v>
      </c>
      <c r="I181" t="s">
        <v>75</v>
      </c>
      <c r="J181" t="s">
        <v>27</v>
      </c>
      <c r="K181" t="s">
        <v>719</v>
      </c>
      <c r="L181" t="s">
        <v>53</v>
      </c>
      <c r="M181">
        <v>2083.01076468875</v>
      </c>
      <c r="N181">
        <v>0</v>
      </c>
      <c r="O181" t="s">
        <v>30</v>
      </c>
      <c r="P181">
        <v>2</v>
      </c>
      <c r="Q181" t="s">
        <v>95</v>
      </c>
      <c r="R181" t="s">
        <v>102</v>
      </c>
      <c r="S181">
        <v>28.403657486162601</v>
      </c>
      <c r="T181">
        <v>40.738227911914002</v>
      </c>
    </row>
    <row r="182" spans="1:20">
      <c r="A182" t="s">
        <v>720</v>
      </c>
      <c r="B182" t="s">
        <v>721</v>
      </c>
      <c r="C182" t="s">
        <v>48</v>
      </c>
      <c r="D182">
        <v>5244.3779260858701</v>
      </c>
      <c r="E182" s="9">
        <v>45782</v>
      </c>
      <c r="F182" t="s">
        <v>722</v>
      </c>
      <c r="G182" t="s">
        <v>172</v>
      </c>
      <c r="H182" t="s">
        <v>69</v>
      </c>
      <c r="I182" t="s">
        <v>75</v>
      </c>
      <c r="J182" t="s">
        <v>173</v>
      </c>
      <c r="K182" t="s">
        <v>723</v>
      </c>
      <c r="L182" t="s">
        <v>120</v>
      </c>
      <c r="M182">
        <v>3551.76006205157</v>
      </c>
      <c r="N182">
        <v>0</v>
      </c>
      <c r="O182" t="s">
        <v>54</v>
      </c>
      <c r="P182">
        <v>3</v>
      </c>
      <c r="Q182" t="s">
        <v>55</v>
      </c>
      <c r="R182" t="s">
        <v>32</v>
      </c>
      <c r="S182">
        <v>-23.684090251174499</v>
      </c>
      <c r="T182">
        <v>43.904148882114796</v>
      </c>
    </row>
    <row r="183" spans="1:20">
      <c r="A183" t="s">
        <v>724</v>
      </c>
      <c r="B183" t="s">
        <v>725</v>
      </c>
      <c r="C183" t="s">
        <v>35</v>
      </c>
      <c r="D183">
        <v>34972.4080727291</v>
      </c>
      <c r="E183" s="9">
        <v>45784</v>
      </c>
      <c r="F183" t="s">
        <v>726</v>
      </c>
      <c r="G183" t="s">
        <v>37</v>
      </c>
      <c r="H183" t="s">
        <v>69</v>
      </c>
      <c r="I183" t="s">
        <v>39</v>
      </c>
      <c r="J183" t="s">
        <v>173</v>
      </c>
      <c r="K183" t="s">
        <v>727</v>
      </c>
      <c r="L183" t="s">
        <v>81</v>
      </c>
      <c r="M183">
        <v>3085.1019599599399</v>
      </c>
      <c r="N183">
        <v>0</v>
      </c>
      <c r="O183" t="s">
        <v>30</v>
      </c>
      <c r="P183">
        <v>3</v>
      </c>
      <c r="Q183" t="s">
        <v>55</v>
      </c>
      <c r="R183" t="s">
        <v>32</v>
      </c>
      <c r="S183">
        <v>12.9871788935274</v>
      </c>
      <c r="T183">
        <v>30.972922175133</v>
      </c>
    </row>
    <row r="184" spans="1:20">
      <c r="A184" t="s">
        <v>728</v>
      </c>
      <c r="B184" t="s">
        <v>308</v>
      </c>
      <c r="C184" t="s">
        <v>22</v>
      </c>
      <c r="D184">
        <v>12875.175039497701</v>
      </c>
      <c r="E184" s="9">
        <v>45787</v>
      </c>
      <c r="F184" t="s">
        <v>729</v>
      </c>
      <c r="G184" t="s">
        <v>24</v>
      </c>
      <c r="H184" t="s">
        <v>25</v>
      </c>
      <c r="I184" t="s">
        <v>39</v>
      </c>
      <c r="J184" t="s">
        <v>27</v>
      </c>
      <c r="K184" t="s">
        <v>730</v>
      </c>
      <c r="L184" t="s">
        <v>42</v>
      </c>
      <c r="M184">
        <v>2037.4131722961399</v>
      </c>
      <c r="N184">
        <v>0</v>
      </c>
      <c r="O184" t="s">
        <v>62</v>
      </c>
      <c r="P184">
        <v>1</v>
      </c>
      <c r="Q184" t="s">
        <v>95</v>
      </c>
      <c r="R184" t="s">
        <v>102</v>
      </c>
      <c r="S184">
        <v>3.4009231609052102</v>
      </c>
      <c r="T184">
        <v>11.836222785129801</v>
      </c>
    </row>
    <row r="185" spans="1:20">
      <c r="A185" t="s">
        <v>731</v>
      </c>
      <c r="B185" t="s">
        <v>589</v>
      </c>
      <c r="C185" t="s">
        <v>85</v>
      </c>
      <c r="D185">
        <v>9300.1089418802603</v>
      </c>
      <c r="E185" s="9">
        <v>45788</v>
      </c>
      <c r="F185" t="s">
        <v>732</v>
      </c>
      <c r="G185" t="s">
        <v>68</v>
      </c>
      <c r="H185" t="s">
        <v>74</v>
      </c>
      <c r="I185" t="s">
        <v>51</v>
      </c>
      <c r="J185" t="s">
        <v>27</v>
      </c>
      <c r="K185" t="s">
        <v>733</v>
      </c>
      <c r="L185" t="s">
        <v>81</v>
      </c>
      <c r="M185">
        <v>999.09427608181898</v>
      </c>
      <c r="N185">
        <v>0</v>
      </c>
      <c r="O185" t="s">
        <v>54</v>
      </c>
      <c r="P185">
        <v>3</v>
      </c>
      <c r="Q185" t="s">
        <v>63</v>
      </c>
      <c r="R185" t="s">
        <v>32</v>
      </c>
      <c r="S185">
        <v>-9.7368513262669794</v>
      </c>
      <c r="T185">
        <v>30.048875863263898</v>
      </c>
    </row>
    <row r="186" spans="1:20">
      <c r="A186" t="s">
        <v>734</v>
      </c>
      <c r="B186" t="s">
        <v>122</v>
      </c>
      <c r="C186" t="s">
        <v>48</v>
      </c>
      <c r="D186">
        <v>40390.769565656403</v>
      </c>
      <c r="E186" s="9">
        <v>45788</v>
      </c>
      <c r="F186" t="s">
        <v>735</v>
      </c>
      <c r="G186" t="s">
        <v>163</v>
      </c>
      <c r="H186" t="s">
        <v>74</v>
      </c>
      <c r="I186" t="s">
        <v>75</v>
      </c>
      <c r="J186" t="s">
        <v>60</v>
      </c>
      <c r="K186" t="s">
        <v>736</v>
      </c>
      <c r="L186" t="s">
        <v>53</v>
      </c>
      <c r="M186">
        <v>4496.85861207994</v>
      </c>
      <c r="N186">
        <v>410.62971018642298</v>
      </c>
      <c r="O186" t="s">
        <v>30</v>
      </c>
      <c r="P186">
        <v>3</v>
      </c>
      <c r="Q186" t="s">
        <v>44</v>
      </c>
      <c r="R186" t="s">
        <v>64</v>
      </c>
      <c r="S186">
        <v>3.48533668979236E-2</v>
      </c>
      <c r="T186">
        <v>70.588244468172107</v>
      </c>
    </row>
    <row r="187" spans="1:20">
      <c r="A187" t="s">
        <v>737</v>
      </c>
      <c r="B187" t="s">
        <v>738</v>
      </c>
      <c r="C187" t="s">
        <v>22</v>
      </c>
      <c r="D187">
        <v>10440.659685502</v>
      </c>
      <c r="E187" s="9">
        <v>45788</v>
      </c>
      <c r="F187" t="s">
        <v>739</v>
      </c>
      <c r="G187" t="s">
        <v>68</v>
      </c>
      <c r="H187" t="s">
        <v>93</v>
      </c>
      <c r="I187" t="s">
        <v>39</v>
      </c>
      <c r="J187" t="s">
        <v>27</v>
      </c>
      <c r="K187" t="s">
        <v>740</v>
      </c>
      <c r="L187" t="s">
        <v>120</v>
      </c>
      <c r="M187">
        <v>4437.1266714557996</v>
      </c>
      <c r="N187">
        <v>0</v>
      </c>
      <c r="O187" t="s">
        <v>62</v>
      </c>
      <c r="P187">
        <v>3</v>
      </c>
      <c r="Q187" t="s">
        <v>63</v>
      </c>
      <c r="R187" t="s">
        <v>133</v>
      </c>
      <c r="S187">
        <v>9.2537986799924603</v>
      </c>
      <c r="T187">
        <v>23.1314182262293</v>
      </c>
    </row>
    <row r="188" spans="1:20">
      <c r="A188" t="s">
        <v>741</v>
      </c>
      <c r="B188" t="s">
        <v>349</v>
      </c>
      <c r="C188" t="s">
        <v>48</v>
      </c>
      <c r="D188">
        <v>39735.043553326497</v>
      </c>
      <c r="E188" s="9">
        <v>45790</v>
      </c>
      <c r="F188" t="s">
        <v>742</v>
      </c>
      <c r="G188" t="s">
        <v>37</v>
      </c>
      <c r="H188" t="s">
        <v>25</v>
      </c>
      <c r="I188" t="s">
        <v>26</v>
      </c>
      <c r="J188" t="s">
        <v>60</v>
      </c>
      <c r="K188" t="s">
        <v>743</v>
      </c>
      <c r="L188" t="s">
        <v>53</v>
      </c>
      <c r="M188">
        <v>3877.2583312308502</v>
      </c>
      <c r="N188">
        <v>252.06642095921899</v>
      </c>
      <c r="O188" t="s">
        <v>30</v>
      </c>
      <c r="P188">
        <v>3</v>
      </c>
      <c r="Q188" t="s">
        <v>55</v>
      </c>
      <c r="R188" t="s">
        <v>82</v>
      </c>
      <c r="S188">
        <v>23.738649183830098</v>
      </c>
      <c r="T188">
        <v>33.874990421450697</v>
      </c>
    </row>
    <row r="189" spans="1:20">
      <c r="A189" t="s">
        <v>744</v>
      </c>
      <c r="B189" t="s">
        <v>161</v>
      </c>
      <c r="C189" t="s">
        <v>22</v>
      </c>
      <c r="D189">
        <v>29962.2907901408</v>
      </c>
      <c r="E189" s="9">
        <v>45791</v>
      </c>
      <c r="F189" t="s">
        <v>745</v>
      </c>
      <c r="G189" t="s">
        <v>50</v>
      </c>
      <c r="H189" t="s">
        <v>38</v>
      </c>
      <c r="I189" t="s">
        <v>99</v>
      </c>
      <c r="J189" t="s">
        <v>27</v>
      </c>
      <c r="K189" t="s">
        <v>746</v>
      </c>
      <c r="L189" t="s">
        <v>120</v>
      </c>
      <c r="M189">
        <v>2543.3565160661501</v>
      </c>
      <c r="N189">
        <v>0</v>
      </c>
      <c r="O189" t="s">
        <v>30</v>
      </c>
      <c r="P189">
        <v>4</v>
      </c>
      <c r="Q189" t="s">
        <v>63</v>
      </c>
      <c r="R189" t="s">
        <v>64</v>
      </c>
      <c r="S189">
        <v>17.015033684573002</v>
      </c>
      <c r="T189">
        <v>20.7469438058877</v>
      </c>
    </row>
    <row r="190" spans="1:20">
      <c r="A190" t="s">
        <v>747</v>
      </c>
      <c r="B190" t="s">
        <v>748</v>
      </c>
      <c r="C190" t="s">
        <v>35</v>
      </c>
      <c r="D190">
        <v>28266.481271879798</v>
      </c>
      <c r="E190" s="9">
        <v>45794</v>
      </c>
      <c r="F190" t="s">
        <v>749</v>
      </c>
      <c r="G190" t="s">
        <v>50</v>
      </c>
      <c r="I190" t="s">
        <v>99</v>
      </c>
      <c r="J190" t="s">
        <v>60</v>
      </c>
      <c r="K190" t="s">
        <v>750</v>
      </c>
      <c r="L190" t="s">
        <v>120</v>
      </c>
      <c r="M190">
        <v>214.676457288324</v>
      </c>
      <c r="N190">
        <v>331.15895676979102</v>
      </c>
      <c r="O190" t="s">
        <v>101</v>
      </c>
      <c r="P190">
        <v>1</v>
      </c>
      <c r="Q190" t="s">
        <v>63</v>
      </c>
      <c r="R190" t="s">
        <v>64</v>
      </c>
      <c r="S190">
        <v>24.1520329583145</v>
      </c>
      <c r="T190">
        <v>32.668902253174799</v>
      </c>
    </row>
    <row r="191" spans="1:20">
      <c r="A191" t="s">
        <v>751</v>
      </c>
      <c r="B191" t="s">
        <v>188</v>
      </c>
      <c r="C191" t="s">
        <v>85</v>
      </c>
      <c r="D191">
        <v>1937.41119503597</v>
      </c>
      <c r="E191" s="9">
        <v>45794</v>
      </c>
      <c r="F191" t="s">
        <v>752</v>
      </c>
      <c r="G191" t="s">
        <v>92</v>
      </c>
      <c r="H191" t="s">
        <v>69</v>
      </c>
      <c r="I191" t="s">
        <v>39</v>
      </c>
      <c r="J191" t="s">
        <v>27</v>
      </c>
      <c r="K191" t="s">
        <v>753</v>
      </c>
      <c r="L191" t="s">
        <v>29</v>
      </c>
      <c r="M191">
        <v>54.600613506307297</v>
      </c>
      <c r="N191">
        <v>0</v>
      </c>
      <c r="O191" t="s">
        <v>101</v>
      </c>
      <c r="P191">
        <v>3</v>
      </c>
      <c r="Q191" t="s">
        <v>44</v>
      </c>
      <c r="R191" t="s">
        <v>82</v>
      </c>
      <c r="S191">
        <v>-5.5906411560920999</v>
      </c>
      <c r="T191">
        <v>72.010165453914098</v>
      </c>
    </row>
    <row r="192" spans="1:20">
      <c r="A192" t="s">
        <v>754</v>
      </c>
      <c r="B192" t="s">
        <v>360</v>
      </c>
      <c r="C192" t="s">
        <v>35</v>
      </c>
      <c r="D192">
        <v>9085.3568902299994</v>
      </c>
      <c r="E192" s="9">
        <v>45797</v>
      </c>
      <c r="F192" t="s">
        <v>755</v>
      </c>
      <c r="G192" t="s">
        <v>59</v>
      </c>
      <c r="H192" t="s">
        <v>74</v>
      </c>
      <c r="I192" t="s">
        <v>26</v>
      </c>
      <c r="J192" t="s">
        <v>27</v>
      </c>
      <c r="K192" t="s">
        <v>756</v>
      </c>
      <c r="L192" t="s">
        <v>29</v>
      </c>
      <c r="M192">
        <v>926.77936378135701</v>
      </c>
      <c r="N192">
        <v>156.41709876210999</v>
      </c>
      <c r="O192" t="s">
        <v>30</v>
      </c>
      <c r="P192">
        <v>0</v>
      </c>
      <c r="Q192" t="s">
        <v>44</v>
      </c>
      <c r="R192" t="s">
        <v>32</v>
      </c>
      <c r="S192">
        <v>0.33938144581316398</v>
      </c>
      <c r="T192">
        <v>48.352206736497202</v>
      </c>
    </row>
    <row r="193" spans="1:20">
      <c r="A193" t="s">
        <v>757</v>
      </c>
      <c r="B193" t="s">
        <v>667</v>
      </c>
      <c r="C193" t="s">
        <v>35</v>
      </c>
      <c r="D193">
        <v>45167.237827963603</v>
      </c>
      <c r="E193" s="9">
        <v>45798</v>
      </c>
      <c r="F193" t="s">
        <v>758</v>
      </c>
      <c r="G193" t="s">
        <v>141</v>
      </c>
      <c r="H193" t="s">
        <v>69</v>
      </c>
      <c r="I193" t="s">
        <v>26</v>
      </c>
      <c r="J193" t="s">
        <v>40</v>
      </c>
      <c r="K193" t="s">
        <v>759</v>
      </c>
      <c r="L193" t="s">
        <v>53</v>
      </c>
      <c r="M193">
        <v>4134.7962877351702</v>
      </c>
      <c r="N193">
        <v>0</v>
      </c>
      <c r="O193" t="s">
        <v>101</v>
      </c>
      <c r="P193">
        <v>1</v>
      </c>
      <c r="Q193" t="s">
        <v>95</v>
      </c>
      <c r="R193" t="s">
        <v>102</v>
      </c>
      <c r="S193">
        <v>-29.352096456629301</v>
      </c>
      <c r="T193">
        <v>92.627996184840697</v>
      </c>
    </row>
    <row r="194" spans="1:20">
      <c r="A194" t="s">
        <v>760</v>
      </c>
      <c r="B194" t="s">
        <v>436</v>
      </c>
      <c r="C194" t="s">
        <v>22</v>
      </c>
      <c r="D194">
        <v>31078.2036526624</v>
      </c>
      <c r="E194" s="9">
        <v>45799</v>
      </c>
      <c r="F194" t="s">
        <v>623</v>
      </c>
      <c r="G194" t="s">
        <v>59</v>
      </c>
      <c r="H194" t="s">
        <v>69</v>
      </c>
      <c r="I194" t="s">
        <v>39</v>
      </c>
      <c r="J194" t="s">
        <v>173</v>
      </c>
      <c r="K194" t="s">
        <v>761</v>
      </c>
      <c r="L194" t="s">
        <v>155</v>
      </c>
      <c r="M194">
        <v>4563.5022119961504</v>
      </c>
      <c r="N194">
        <v>0</v>
      </c>
      <c r="O194" t="s">
        <v>62</v>
      </c>
      <c r="P194">
        <v>3</v>
      </c>
      <c r="Q194" t="s">
        <v>44</v>
      </c>
      <c r="R194" t="s">
        <v>102</v>
      </c>
      <c r="S194">
        <v>29.047133029574201</v>
      </c>
      <c r="T194">
        <v>12.8747202875713</v>
      </c>
    </row>
    <row r="195" spans="1:20">
      <c r="A195" t="s">
        <v>762</v>
      </c>
      <c r="B195" t="s">
        <v>763</v>
      </c>
      <c r="C195" t="s">
        <v>48</v>
      </c>
      <c r="D195">
        <v>36821.640198480498</v>
      </c>
      <c r="E195" s="9">
        <v>45800</v>
      </c>
      <c r="F195" t="s">
        <v>764</v>
      </c>
      <c r="G195" t="s">
        <v>163</v>
      </c>
      <c r="H195" t="s">
        <v>69</v>
      </c>
      <c r="I195" t="s">
        <v>51</v>
      </c>
      <c r="J195" t="s">
        <v>173</v>
      </c>
      <c r="K195" t="s">
        <v>765</v>
      </c>
      <c r="L195" t="s">
        <v>155</v>
      </c>
      <c r="M195">
        <v>3639.3002416699201</v>
      </c>
      <c r="N195">
        <v>0</v>
      </c>
      <c r="O195" t="s">
        <v>43</v>
      </c>
      <c r="P195">
        <v>4</v>
      </c>
      <c r="Q195" t="s">
        <v>31</v>
      </c>
      <c r="R195" t="s">
        <v>64</v>
      </c>
      <c r="S195">
        <v>-12.5566615427601</v>
      </c>
      <c r="T195">
        <v>91.376500330379898</v>
      </c>
    </row>
    <row r="196" spans="1:20">
      <c r="A196" t="s">
        <v>766</v>
      </c>
      <c r="B196" t="s">
        <v>767</v>
      </c>
      <c r="C196" t="s">
        <v>22</v>
      </c>
      <c r="D196">
        <v>20783.778751761001</v>
      </c>
      <c r="E196" s="9">
        <v>45802</v>
      </c>
      <c r="F196" t="s">
        <v>768</v>
      </c>
      <c r="G196" t="s">
        <v>50</v>
      </c>
      <c r="H196" t="s">
        <v>106</v>
      </c>
      <c r="I196" t="s">
        <v>26</v>
      </c>
      <c r="J196" t="s">
        <v>173</v>
      </c>
      <c r="K196" t="s">
        <v>769</v>
      </c>
      <c r="L196" t="s">
        <v>155</v>
      </c>
      <c r="M196">
        <v>3373.4600595864999</v>
      </c>
      <c r="N196">
        <v>0</v>
      </c>
      <c r="O196" t="s">
        <v>62</v>
      </c>
      <c r="P196">
        <v>2</v>
      </c>
      <c r="Q196" t="s">
        <v>63</v>
      </c>
      <c r="R196" t="s">
        <v>32</v>
      </c>
      <c r="S196">
        <v>11.0326044697984</v>
      </c>
      <c r="T196">
        <v>41.5989607975242</v>
      </c>
    </row>
    <row r="197" spans="1:20">
      <c r="A197" t="s">
        <v>770</v>
      </c>
      <c r="B197" t="s">
        <v>771</v>
      </c>
      <c r="C197" t="s">
        <v>48</v>
      </c>
      <c r="D197">
        <v>5332.9714099707999</v>
      </c>
      <c r="E197" s="9">
        <v>45802</v>
      </c>
      <c r="F197" t="s">
        <v>772</v>
      </c>
      <c r="G197" t="s">
        <v>163</v>
      </c>
      <c r="H197" t="s">
        <v>106</v>
      </c>
      <c r="I197" t="s">
        <v>99</v>
      </c>
      <c r="J197" t="s">
        <v>60</v>
      </c>
      <c r="K197" t="s">
        <v>773</v>
      </c>
      <c r="L197" t="s">
        <v>155</v>
      </c>
      <c r="M197">
        <v>4319.3577116378501</v>
      </c>
      <c r="N197">
        <v>0</v>
      </c>
      <c r="O197" t="s">
        <v>101</v>
      </c>
      <c r="P197">
        <v>0</v>
      </c>
      <c r="Q197" t="s">
        <v>44</v>
      </c>
      <c r="R197" t="s">
        <v>45</v>
      </c>
      <c r="S197">
        <v>18.586224233835701</v>
      </c>
      <c r="T197">
        <v>58.239550840850299</v>
      </c>
    </row>
    <row r="198" spans="1:20">
      <c r="A198" t="s">
        <v>774</v>
      </c>
      <c r="B198" t="s">
        <v>215</v>
      </c>
      <c r="C198" t="s">
        <v>48</v>
      </c>
      <c r="D198">
        <v>29024.531730139799</v>
      </c>
      <c r="E198" s="9">
        <v>45803</v>
      </c>
      <c r="F198" t="s">
        <v>775</v>
      </c>
      <c r="G198" t="s">
        <v>24</v>
      </c>
      <c r="H198" t="s">
        <v>74</v>
      </c>
      <c r="I198" t="s">
        <v>26</v>
      </c>
      <c r="J198" t="s">
        <v>40</v>
      </c>
      <c r="K198" t="s">
        <v>776</v>
      </c>
      <c r="L198" t="s">
        <v>155</v>
      </c>
      <c r="M198">
        <v>1674.39235815036</v>
      </c>
      <c r="N198">
        <v>0</v>
      </c>
      <c r="O198" t="s">
        <v>30</v>
      </c>
      <c r="P198">
        <v>4</v>
      </c>
      <c r="Q198" t="s">
        <v>55</v>
      </c>
      <c r="R198" t="s">
        <v>45</v>
      </c>
      <c r="S198">
        <v>9.3721788224163909</v>
      </c>
      <c r="T198">
        <v>97.434945652403101</v>
      </c>
    </row>
    <row r="199" spans="1:20">
      <c r="A199" t="s">
        <v>777</v>
      </c>
      <c r="B199" t="s">
        <v>778</v>
      </c>
      <c r="C199" t="s">
        <v>22</v>
      </c>
      <c r="D199">
        <v>24954.7286001992</v>
      </c>
      <c r="E199" s="9">
        <v>45804</v>
      </c>
      <c r="F199" t="s">
        <v>779</v>
      </c>
      <c r="G199" t="s">
        <v>24</v>
      </c>
      <c r="H199" t="s">
        <v>38</v>
      </c>
      <c r="I199" t="s">
        <v>99</v>
      </c>
      <c r="J199" t="s">
        <v>27</v>
      </c>
      <c r="K199" t="s">
        <v>780</v>
      </c>
      <c r="L199" t="s">
        <v>29</v>
      </c>
      <c r="M199">
        <v>1821.9079129371901</v>
      </c>
      <c r="N199">
        <v>0</v>
      </c>
      <c r="O199" t="s">
        <v>62</v>
      </c>
      <c r="P199">
        <v>1</v>
      </c>
      <c r="Q199" t="s">
        <v>44</v>
      </c>
      <c r="R199" t="s">
        <v>64</v>
      </c>
      <c r="S199">
        <v>6.2151472594923298</v>
      </c>
      <c r="T199">
        <v>62.739655531584603</v>
      </c>
    </row>
    <row r="200" spans="1:20">
      <c r="A200" t="s">
        <v>781</v>
      </c>
      <c r="B200" t="s">
        <v>782</v>
      </c>
      <c r="C200" t="s">
        <v>48</v>
      </c>
      <c r="D200">
        <v>45543.241292960098</v>
      </c>
      <c r="E200" s="9">
        <v>45804</v>
      </c>
      <c r="F200" t="s">
        <v>783</v>
      </c>
      <c r="G200" t="s">
        <v>92</v>
      </c>
      <c r="H200" t="s">
        <v>106</v>
      </c>
      <c r="I200" t="s">
        <v>26</v>
      </c>
      <c r="J200" t="s">
        <v>60</v>
      </c>
      <c r="K200" t="s">
        <v>784</v>
      </c>
      <c r="L200" t="s">
        <v>42</v>
      </c>
      <c r="M200">
        <v>4154.2956694064897</v>
      </c>
      <c r="N200">
        <v>72.757741393679595</v>
      </c>
      <c r="O200" t="s">
        <v>43</v>
      </c>
      <c r="P200">
        <v>4</v>
      </c>
      <c r="R200" t="s">
        <v>45</v>
      </c>
      <c r="S200">
        <v>-18.327121818005299</v>
      </c>
      <c r="T200">
        <v>40.227476743143399</v>
      </c>
    </row>
    <row r="201" spans="1:20">
      <c r="A201" t="s">
        <v>785</v>
      </c>
      <c r="B201" t="s">
        <v>562</v>
      </c>
      <c r="C201" t="s">
        <v>48</v>
      </c>
      <c r="D201">
        <v>26539.0171567377</v>
      </c>
      <c r="E201" s="9">
        <v>45804</v>
      </c>
      <c r="F201" t="s">
        <v>786</v>
      </c>
      <c r="G201" t="s">
        <v>181</v>
      </c>
      <c r="H201" t="s">
        <v>93</v>
      </c>
      <c r="I201" t="s">
        <v>99</v>
      </c>
      <c r="J201" t="s">
        <v>27</v>
      </c>
      <c r="K201" t="s">
        <v>787</v>
      </c>
      <c r="L201" t="s">
        <v>120</v>
      </c>
      <c r="M201">
        <v>3542.5354226659701</v>
      </c>
      <c r="N201">
        <v>0</v>
      </c>
      <c r="O201" t="s">
        <v>54</v>
      </c>
      <c r="P201">
        <v>1</v>
      </c>
      <c r="Q201" t="s">
        <v>95</v>
      </c>
      <c r="R201" t="s">
        <v>32</v>
      </c>
      <c r="S201">
        <v>-10.653011417361</v>
      </c>
      <c r="T201">
        <v>12.862406043919201</v>
      </c>
    </row>
    <row r="202" spans="1:20">
      <c r="A202" t="s">
        <v>788</v>
      </c>
      <c r="B202" t="s">
        <v>428</v>
      </c>
      <c r="C202" t="s">
        <v>48</v>
      </c>
      <c r="D202">
        <v>9886.0436747032909</v>
      </c>
      <c r="E202" s="9">
        <v>45805</v>
      </c>
      <c r="F202" t="s">
        <v>789</v>
      </c>
      <c r="G202" t="s">
        <v>50</v>
      </c>
      <c r="H202" t="s">
        <v>25</v>
      </c>
      <c r="I202" t="s">
        <v>39</v>
      </c>
      <c r="J202" t="s">
        <v>87</v>
      </c>
      <c r="K202" t="s">
        <v>790</v>
      </c>
      <c r="L202" t="s">
        <v>81</v>
      </c>
      <c r="M202">
        <v>2936.4827260917</v>
      </c>
      <c r="N202">
        <v>362.66319536793901</v>
      </c>
      <c r="O202" t="s">
        <v>101</v>
      </c>
      <c r="P202">
        <v>2</v>
      </c>
      <c r="R202" t="s">
        <v>64</v>
      </c>
      <c r="S202">
        <v>21.648651761204199</v>
      </c>
      <c r="T202">
        <v>35.1378966758109</v>
      </c>
    </row>
    <row r="203" spans="1:20">
      <c r="A203" t="s">
        <v>791</v>
      </c>
      <c r="B203" t="s">
        <v>792</v>
      </c>
      <c r="C203" t="s">
        <v>85</v>
      </c>
      <c r="D203">
        <v>4705.3002528144298</v>
      </c>
      <c r="E203" s="9">
        <v>45805</v>
      </c>
      <c r="F203" t="s">
        <v>793</v>
      </c>
      <c r="G203" t="s">
        <v>68</v>
      </c>
      <c r="H203" t="s">
        <v>25</v>
      </c>
      <c r="I203" t="s">
        <v>99</v>
      </c>
      <c r="J203" t="s">
        <v>40</v>
      </c>
      <c r="K203" t="s">
        <v>794</v>
      </c>
      <c r="L203" t="s">
        <v>53</v>
      </c>
      <c r="M203">
        <v>4799.3873056292896</v>
      </c>
      <c r="N203">
        <v>0</v>
      </c>
      <c r="O203" t="s">
        <v>30</v>
      </c>
      <c r="P203">
        <v>1</v>
      </c>
      <c r="Q203" t="s">
        <v>31</v>
      </c>
      <c r="R203" t="s">
        <v>45</v>
      </c>
      <c r="S203">
        <v>-22.077889386600301</v>
      </c>
      <c r="T203">
        <v>72.649674633742293</v>
      </c>
    </row>
    <row r="204" spans="1:20">
      <c r="A204" t="s">
        <v>795</v>
      </c>
      <c r="B204" t="s">
        <v>738</v>
      </c>
      <c r="C204" t="s">
        <v>48</v>
      </c>
      <c r="D204">
        <v>41921.537462597</v>
      </c>
      <c r="E204" s="9">
        <v>45807</v>
      </c>
      <c r="F204" t="s">
        <v>796</v>
      </c>
      <c r="G204" t="s">
        <v>172</v>
      </c>
      <c r="H204" t="s">
        <v>93</v>
      </c>
      <c r="I204" t="s">
        <v>39</v>
      </c>
      <c r="J204" t="s">
        <v>60</v>
      </c>
      <c r="K204" t="s">
        <v>797</v>
      </c>
      <c r="L204" t="s">
        <v>81</v>
      </c>
      <c r="M204">
        <v>2511.4067386248498</v>
      </c>
      <c r="N204">
        <v>134.07161480596</v>
      </c>
      <c r="O204" t="s">
        <v>43</v>
      </c>
      <c r="P204">
        <v>3</v>
      </c>
      <c r="Q204" t="s">
        <v>44</v>
      </c>
      <c r="R204" t="s">
        <v>133</v>
      </c>
      <c r="S204">
        <v>-18.843981547536899</v>
      </c>
      <c r="T204">
        <v>5.6483424003482101</v>
      </c>
    </row>
    <row r="205" spans="1:20">
      <c r="A205" t="s">
        <v>798</v>
      </c>
      <c r="B205" t="s">
        <v>799</v>
      </c>
      <c r="C205" t="s">
        <v>22</v>
      </c>
      <c r="D205">
        <v>42335.751680796398</v>
      </c>
      <c r="E205" s="9">
        <v>45809</v>
      </c>
      <c r="F205" t="s">
        <v>800</v>
      </c>
      <c r="G205" t="s">
        <v>141</v>
      </c>
      <c r="H205" t="s">
        <v>106</v>
      </c>
      <c r="I205" t="s">
        <v>26</v>
      </c>
      <c r="J205" t="s">
        <v>27</v>
      </c>
      <c r="K205" t="s">
        <v>801</v>
      </c>
      <c r="L205" t="s">
        <v>120</v>
      </c>
      <c r="M205">
        <v>3536.45981398804</v>
      </c>
      <c r="N205">
        <v>0</v>
      </c>
      <c r="O205" t="s">
        <v>54</v>
      </c>
      <c r="P205">
        <v>4</v>
      </c>
      <c r="Q205" t="s">
        <v>31</v>
      </c>
      <c r="R205" t="s">
        <v>45</v>
      </c>
      <c r="S205">
        <v>-2.6304755328106499</v>
      </c>
      <c r="T205">
        <v>87.441455419647895</v>
      </c>
    </row>
    <row r="206" spans="1:20">
      <c r="A206" t="s">
        <v>802</v>
      </c>
      <c r="B206" t="s">
        <v>257</v>
      </c>
      <c r="C206" t="s">
        <v>35</v>
      </c>
      <c r="D206">
        <v>18954.742408861701</v>
      </c>
      <c r="E206" s="9">
        <v>45809</v>
      </c>
      <c r="F206" t="s">
        <v>803</v>
      </c>
      <c r="G206" t="s">
        <v>163</v>
      </c>
      <c r="H206" t="s">
        <v>38</v>
      </c>
      <c r="I206" t="s">
        <v>75</v>
      </c>
      <c r="J206" t="s">
        <v>27</v>
      </c>
      <c r="K206" t="s">
        <v>804</v>
      </c>
      <c r="L206" t="s">
        <v>53</v>
      </c>
      <c r="M206">
        <v>3120.8376980124199</v>
      </c>
      <c r="N206">
        <v>0</v>
      </c>
      <c r="O206" t="s">
        <v>54</v>
      </c>
      <c r="P206">
        <v>1</v>
      </c>
      <c r="R206" t="s">
        <v>32</v>
      </c>
      <c r="S206">
        <v>-2.8611578969198699</v>
      </c>
      <c r="T206">
        <v>85.017194520504802</v>
      </c>
    </row>
    <row r="207" spans="1:20">
      <c r="A207" t="s">
        <v>805</v>
      </c>
      <c r="B207" t="s">
        <v>277</v>
      </c>
      <c r="C207" t="s">
        <v>48</v>
      </c>
      <c r="D207">
        <v>26767.732836252901</v>
      </c>
      <c r="E207" s="9">
        <v>45810</v>
      </c>
      <c r="F207" t="s">
        <v>806</v>
      </c>
      <c r="G207" t="s">
        <v>181</v>
      </c>
      <c r="H207" t="s">
        <v>74</v>
      </c>
      <c r="I207" t="s">
        <v>75</v>
      </c>
      <c r="J207" t="s">
        <v>60</v>
      </c>
      <c r="K207" t="s">
        <v>807</v>
      </c>
      <c r="L207" t="s">
        <v>81</v>
      </c>
      <c r="M207">
        <v>455.730386486128</v>
      </c>
      <c r="N207">
        <v>164.68963465103801</v>
      </c>
      <c r="O207" t="s">
        <v>43</v>
      </c>
      <c r="P207">
        <v>2</v>
      </c>
      <c r="Q207" t="s">
        <v>95</v>
      </c>
      <c r="R207" t="s">
        <v>45</v>
      </c>
      <c r="S207">
        <v>-25.793911183953501</v>
      </c>
      <c r="T207">
        <v>72.618948386210505</v>
      </c>
    </row>
    <row r="208" spans="1:20">
      <c r="A208" t="s">
        <v>808</v>
      </c>
      <c r="B208" t="s">
        <v>809</v>
      </c>
      <c r="C208" t="s">
        <v>22</v>
      </c>
      <c r="D208">
        <v>26909.444494032101</v>
      </c>
      <c r="E208" s="9">
        <v>45810</v>
      </c>
      <c r="F208" t="s">
        <v>810</v>
      </c>
      <c r="G208" t="s">
        <v>24</v>
      </c>
      <c r="H208" t="s">
        <v>106</v>
      </c>
      <c r="I208" t="s">
        <v>39</v>
      </c>
      <c r="J208" t="s">
        <v>40</v>
      </c>
      <c r="K208" t="s">
        <v>811</v>
      </c>
      <c r="L208" t="s">
        <v>155</v>
      </c>
      <c r="M208">
        <v>3363.3170719916998</v>
      </c>
      <c r="N208">
        <v>0</v>
      </c>
      <c r="O208" t="s">
        <v>54</v>
      </c>
      <c r="P208">
        <v>0</v>
      </c>
      <c r="Q208" t="s">
        <v>31</v>
      </c>
      <c r="R208" t="s">
        <v>45</v>
      </c>
      <c r="S208">
        <v>4.2976616016699296</v>
      </c>
      <c r="T208">
        <v>35.577408420066</v>
      </c>
    </row>
    <row r="209" spans="1:20">
      <c r="A209" t="s">
        <v>812</v>
      </c>
      <c r="B209" t="s">
        <v>813</v>
      </c>
      <c r="C209" t="s">
        <v>85</v>
      </c>
      <c r="D209">
        <v>13951.599914208</v>
      </c>
      <c r="E209" s="9">
        <v>45810</v>
      </c>
      <c r="F209" t="s">
        <v>814</v>
      </c>
      <c r="G209" t="s">
        <v>181</v>
      </c>
      <c r="H209" t="s">
        <v>74</v>
      </c>
      <c r="I209" t="s">
        <v>75</v>
      </c>
      <c r="J209" t="s">
        <v>40</v>
      </c>
      <c r="K209" t="s">
        <v>815</v>
      </c>
      <c r="L209" t="s">
        <v>42</v>
      </c>
      <c r="M209">
        <v>3577.6948139833898</v>
      </c>
      <c r="N209">
        <v>0</v>
      </c>
      <c r="O209" t="s">
        <v>54</v>
      </c>
      <c r="P209">
        <v>2</v>
      </c>
      <c r="R209" t="s">
        <v>133</v>
      </c>
      <c r="S209">
        <v>14.335697767857299</v>
      </c>
      <c r="T209">
        <v>48.3011855548379</v>
      </c>
    </row>
    <row r="210" spans="1:20">
      <c r="A210" t="s">
        <v>816</v>
      </c>
      <c r="B210" t="s">
        <v>277</v>
      </c>
      <c r="C210" t="s">
        <v>85</v>
      </c>
      <c r="D210">
        <v>40361.822433232999</v>
      </c>
      <c r="E210" s="9">
        <v>45811</v>
      </c>
      <c r="F210" t="s">
        <v>817</v>
      </c>
      <c r="G210" t="s">
        <v>92</v>
      </c>
      <c r="H210" t="s">
        <v>69</v>
      </c>
      <c r="I210" t="s">
        <v>39</v>
      </c>
      <c r="J210" t="s">
        <v>40</v>
      </c>
      <c r="K210" t="s">
        <v>818</v>
      </c>
      <c r="L210" t="s">
        <v>53</v>
      </c>
      <c r="M210">
        <v>3139.9916481377099</v>
      </c>
      <c r="N210">
        <v>0</v>
      </c>
      <c r="O210" t="s">
        <v>62</v>
      </c>
      <c r="P210">
        <v>3</v>
      </c>
      <c r="Q210" t="s">
        <v>55</v>
      </c>
      <c r="R210" t="s">
        <v>64</v>
      </c>
      <c r="S210">
        <v>-19.907334453987499</v>
      </c>
      <c r="T210">
        <v>78.9761773734635</v>
      </c>
    </row>
    <row r="211" spans="1:20">
      <c r="A211" t="s">
        <v>819</v>
      </c>
      <c r="B211" t="s">
        <v>148</v>
      </c>
      <c r="C211" t="s">
        <v>22</v>
      </c>
      <c r="D211">
        <v>5923.1336006699003</v>
      </c>
      <c r="E211" s="9">
        <v>45812</v>
      </c>
      <c r="F211" t="s">
        <v>820</v>
      </c>
      <c r="G211" t="s">
        <v>163</v>
      </c>
      <c r="H211" t="s">
        <v>93</v>
      </c>
      <c r="I211" t="s">
        <v>99</v>
      </c>
      <c r="J211" t="s">
        <v>60</v>
      </c>
      <c r="K211" t="s">
        <v>821</v>
      </c>
      <c r="L211" t="s">
        <v>53</v>
      </c>
      <c r="M211">
        <v>3448.2440180641001</v>
      </c>
      <c r="N211">
        <v>0</v>
      </c>
      <c r="O211" t="s">
        <v>62</v>
      </c>
      <c r="P211">
        <v>2</v>
      </c>
      <c r="R211" t="s">
        <v>133</v>
      </c>
      <c r="S211">
        <v>-27.0862366022603</v>
      </c>
      <c r="T211">
        <v>78.793093843776703</v>
      </c>
    </row>
    <row r="212" spans="1:20">
      <c r="A212" t="s">
        <v>822</v>
      </c>
      <c r="B212" t="s">
        <v>387</v>
      </c>
      <c r="C212" t="s">
        <v>85</v>
      </c>
      <c r="D212">
        <v>15878.209456595099</v>
      </c>
      <c r="E212" s="9">
        <v>45812</v>
      </c>
      <c r="F212" t="s">
        <v>823</v>
      </c>
      <c r="G212" t="s">
        <v>172</v>
      </c>
      <c r="H212" t="s">
        <v>69</v>
      </c>
      <c r="I212" t="s">
        <v>26</v>
      </c>
      <c r="J212" t="s">
        <v>27</v>
      </c>
      <c r="K212" t="s">
        <v>824</v>
      </c>
      <c r="L212" t="s">
        <v>42</v>
      </c>
      <c r="M212">
        <v>389.81089743196799</v>
      </c>
      <c r="N212">
        <v>0</v>
      </c>
      <c r="O212" t="s">
        <v>101</v>
      </c>
      <c r="P212">
        <v>2</v>
      </c>
      <c r="Q212" t="s">
        <v>31</v>
      </c>
      <c r="R212" t="s">
        <v>64</v>
      </c>
      <c r="S212">
        <v>27.711892460879898</v>
      </c>
      <c r="T212">
        <v>26.360543980688099</v>
      </c>
    </row>
    <row r="213" spans="1:20">
      <c r="A213" t="s">
        <v>825</v>
      </c>
      <c r="B213" t="s">
        <v>157</v>
      </c>
      <c r="C213" t="s">
        <v>48</v>
      </c>
      <c r="D213">
        <v>45601.435201263899</v>
      </c>
      <c r="E213" s="9">
        <v>45814</v>
      </c>
      <c r="F213" t="s">
        <v>826</v>
      </c>
      <c r="G213" t="s">
        <v>172</v>
      </c>
      <c r="H213" t="s">
        <v>38</v>
      </c>
      <c r="I213" t="s">
        <v>26</v>
      </c>
      <c r="J213" t="s">
        <v>27</v>
      </c>
      <c r="K213" t="s">
        <v>827</v>
      </c>
      <c r="L213" t="s">
        <v>42</v>
      </c>
      <c r="M213">
        <v>2085.4601326986799</v>
      </c>
      <c r="N213">
        <v>0</v>
      </c>
      <c r="O213" t="s">
        <v>30</v>
      </c>
      <c r="P213">
        <v>1</v>
      </c>
      <c r="Q213" t="s">
        <v>55</v>
      </c>
      <c r="R213" t="s">
        <v>102</v>
      </c>
      <c r="S213">
        <v>7.1740934867195802</v>
      </c>
      <c r="T213">
        <v>86.642740289875604</v>
      </c>
    </row>
    <row r="214" spans="1:20">
      <c r="A214" t="s">
        <v>828</v>
      </c>
      <c r="B214" t="s">
        <v>126</v>
      </c>
      <c r="C214" t="s">
        <v>22</v>
      </c>
      <c r="D214">
        <v>17435.929070448201</v>
      </c>
      <c r="E214" s="9">
        <v>45815</v>
      </c>
      <c r="F214" t="s">
        <v>829</v>
      </c>
      <c r="G214" t="s">
        <v>181</v>
      </c>
      <c r="H214" t="s">
        <v>38</v>
      </c>
      <c r="I214" t="s">
        <v>51</v>
      </c>
      <c r="J214" t="s">
        <v>173</v>
      </c>
      <c r="K214" t="s">
        <v>488</v>
      </c>
      <c r="L214" t="s">
        <v>120</v>
      </c>
      <c r="M214">
        <v>532.66307769618197</v>
      </c>
      <c r="N214">
        <v>0</v>
      </c>
      <c r="O214" t="s">
        <v>30</v>
      </c>
      <c r="P214">
        <v>2</v>
      </c>
      <c r="Q214" t="s">
        <v>31</v>
      </c>
      <c r="R214" t="s">
        <v>64</v>
      </c>
      <c r="S214">
        <v>14.1752368776277</v>
      </c>
      <c r="T214">
        <v>55.700680631312899</v>
      </c>
    </row>
    <row r="215" spans="1:20">
      <c r="A215" t="s">
        <v>830</v>
      </c>
      <c r="B215" t="s">
        <v>813</v>
      </c>
      <c r="C215" t="s">
        <v>35</v>
      </c>
      <c r="D215">
        <v>46329.826237126603</v>
      </c>
      <c r="E215" s="9">
        <v>45815</v>
      </c>
      <c r="F215" t="s">
        <v>831</v>
      </c>
      <c r="G215" t="s">
        <v>163</v>
      </c>
      <c r="H215" t="s">
        <v>69</v>
      </c>
      <c r="I215" t="s">
        <v>39</v>
      </c>
      <c r="J215" t="s">
        <v>173</v>
      </c>
      <c r="K215" t="s">
        <v>832</v>
      </c>
      <c r="L215" t="s">
        <v>42</v>
      </c>
      <c r="M215">
        <v>3923.3757146824501</v>
      </c>
      <c r="N215">
        <v>0</v>
      </c>
      <c r="O215" t="s">
        <v>62</v>
      </c>
      <c r="P215">
        <v>2</v>
      </c>
      <c r="Q215" t="s">
        <v>95</v>
      </c>
      <c r="R215" t="s">
        <v>102</v>
      </c>
      <c r="S215">
        <v>29.555863114899601</v>
      </c>
      <c r="T215">
        <v>43.734757243259502</v>
      </c>
    </row>
    <row r="216" spans="1:20">
      <c r="A216" t="s">
        <v>833</v>
      </c>
      <c r="B216" t="s">
        <v>207</v>
      </c>
      <c r="C216" t="s">
        <v>22</v>
      </c>
      <c r="D216">
        <v>-5000</v>
      </c>
      <c r="E216" s="9">
        <v>45816</v>
      </c>
      <c r="F216" t="s">
        <v>834</v>
      </c>
      <c r="G216" t="s">
        <v>181</v>
      </c>
      <c r="H216" t="s">
        <v>93</v>
      </c>
      <c r="I216" t="s">
        <v>99</v>
      </c>
      <c r="J216" t="s">
        <v>87</v>
      </c>
      <c r="K216" t="s">
        <v>835</v>
      </c>
      <c r="L216" t="s">
        <v>42</v>
      </c>
      <c r="M216">
        <v>3955.66308051326</v>
      </c>
      <c r="N216">
        <v>434.847942425817</v>
      </c>
      <c r="O216" t="s">
        <v>54</v>
      </c>
      <c r="P216">
        <v>4</v>
      </c>
      <c r="Q216" t="s">
        <v>44</v>
      </c>
      <c r="R216" t="s">
        <v>32</v>
      </c>
      <c r="S216">
        <v>-13.557504617743501</v>
      </c>
      <c r="T216">
        <v>1.0672287848834101</v>
      </c>
    </row>
    <row r="217" spans="1:20">
      <c r="A217" t="s">
        <v>833</v>
      </c>
      <c r="B217" t="s">
        <v>207</v>
      </c>
      <c r="C217" t="s">
        <v>22</v>
      </c>
      <c r="D217">
        <v>47708.938133327698</v>
      </c>
      <c r="E217" s="9">
        <v>45816</v>
      </c>
      <c r="F217" t="s">
        <v>834</v>
      </c>
      <c r="G217" t="s">
        <v>181</v>
      </c>
      <c r="H217" t="s">
        <v>93</v>
      </c>
      <c r="I217" t="s">
        <v>99</v>
      </c>
      <c r="J217" t="s">
        <v>87</v>
      </c>
      <c r="K217" t="s">
        <v>835</v>
      </c>
      <c r="L217" t="s">
        <v>42</v>
      </c>
      <c r="M217">
        <v>3955.66308051326</v>
      </c>
      <c r="N217">
        <v>434.847942425817</v>
      </c>
      <c r="O217" t="s">
        <v>54</v>
      </c>
      <c r="P217">
        <v>4</v>
      </c>
      <c r="Q217" t="s">
        <v>44</v>
      </c>
      <c r="R217" t="s">
        <v>32</v>
      </c>
      <c r="S217">
        <v>-13.557504617743501</v>
      </c>
      <c r="T217">
        <v>1.0672287848834101</v>
      </c>
    </row>
    <row r="218" spans="1:20">
      <c r="A218" t="s">
        <v>836</v>
      </c>
      <c r="B218" t="s">
        <v>334</v>
      </c>
      <c r="C218" t="s">
        <v>22</v>
      </c>
      <c r="D218">
        <v>37878.351981918597</v>
      </c>
      <c r="E218" s="9">
        <v>45816</v>
      </c>
      <c r="F218" t="s">
        <v>837</v>
      </c>
      <c r="G218" t="s">
        <v>59</v>
      </c>
      <c r="H218" t="s">
        <v>93</v>
      </c>
      <c r="I218" t="s">
        <v>51</v>
      </c>
      <c r="J218" t="s">
        <v>173</v>
      </c>
      <c r="K218" t="s">
        <v>838</v>
      </c>
      <c r="L218" t="s">
        <v>81</v>
      </c>
      <c r="M218">
        <v>4661.9049697217897</v>
      </c>
      <c r="N218">
        <v>0</v>
      </c>
      <c r="O218" t="s">
        <v>62</v>
      </c>
      <c r="P218">
        <v>0</v>
      </c>
      <c r="Q218" t="s">
        <v>55</v>
      </c>
      <c r="R218" t="s">
        <v>45</v>
      </c>
      <c r="S218">
        <v>15.360254506444599</v>
      </c>
      <c r="T218">
        <v>4.7838812507038799</v>
      </c>
    </row>
    <row r="219" spans="1:20">
      <c r="A219" t="s">
        <v>839</v>
      </c>
      <c r="B219" t="s">
        <v>428</v>
      </c>
      <c r="C219" t="s">
        <v>48</v>
      </c>
      <c r="D219">
        <v>10329.5903216565</v>
      </c>
      <c r="E219" s="9">
        <v>45817</v>
      </c>
      <c r="F219" t="s">
        <v>840</v>
      </c>
      <c r="G219" t="s">
        <v>24</v>
      </c>
      <c r="H219" t="s">
        <v>69</v>
      </c>
      <c r="I219" t="s">
        <v>39</v>
      </c>
      <c r="J219" t="s">
        <v>27</v>
      </c>
      <c r="K219" t="s">
        <v>841</v>
      </c>
      <c r="L219" t="s">
        <v>81</v>
      </c>
      <c r="M219">
        <v>2834.0254018837099</v>
      </c>
      <c r="N219">
        <v>0</v>
      </c>
      <c r="O219" t="s">
        <v>43</v>
      </c>
      <c r="P219">
        <v>0</v>
      </c>
      <c r="Q219" t="s">
        <v>31</v>
      </c>
      <c r="R219" t="s">
        <v>64</v>
      </c>
      <c r="S219">
        <v>-4.1049402529494499</v>
      </c>
      <c r="T219">
        <v>63.055923434573799</v>
      </c>
    </row>
    <row r="220" spans="1:20">
      <c r="A220" t="s">
        <v>842</v>
      </c>
      <c r="B220" t="s">
        <v>234</v>
      </c>
      <c r="C220" t="s">
        <v>35</v>
      </c>
      <c r="D220">
        <v>42005.464086882901</v>
      </c>
      <c r="E220" s="9">
        <v>45817</v>
      </c>
      <c r="F220" t="s">
        <v>843</v>
      </c>
      <c r="G220" t="s">
        <v>181</v>
      </c>
      <c r="H220" t="s">
        <v>38</v>
      </c>
      <c r="I220" t="s">
        <v>51</v>
      </c>
      <c r="J220" t="s">
        <v>40</v>
      </c>
      <c r="K220" t="s">
        <v>844</v>
      </c>
      <c r="L220" t="s">
        <v>81</v>
      </c>
      <c r="M220">
        <v>1046.2557512656399</v>
      </c>
      <c r="N220">
        <v>0</v>
      </c>
      <c r="O220" t="s">
        <v>43</v>
      </c>
      <c r="P220">
        <v>1</v>
      </c>
      <c r="Q220" t="s">
        <v>44</v>
      </c>
      <c r="R220" t="s">
        <v>102</v>
      </c>
      <c r="S220">
        <v>-18.995679083415599</v>
      </c>
      <c r="T220">
        <v>32.413517383279597</v>
      </c>
    </row>
    <row r="221" spans="1:20">
      <c r="A221" t="s">
        <v>845</v>
      </c>
      <c r="B221" t="s">
        <v>846</v>
      </c>
      <c r="C221" t="s">
        <v>85</v>
      </c>
      <c r="D221">
        <v>28241.858091739901</v>
      </c>
      <c r="E221" s="9">
        <v>45817</v>
      </c>
      <c r="F221" t="s">
        <v>847</v>
      </c>
      <c r="G221" t="s">
        <v>172</v>
      </c>
      <c r="H221" t="s">
        <v>74</v>
      </c>
      <c r="I221" t="s">
        <v>39</v>
      </c>
      <c r="J221" t="s">
        <v>40</v>
      </c>
      <c r="K221" t="s">
        <v>848</v>
      </c>
      <c r="L221" t="s">
        <v>53</v>
      </c>
      <c r="M221">
        <v>3166.6603074460299</v>
      </c>
      <c r="N221">
        <v>0</v>
      </c>
      <c r="O221" t="s">
        <v>43</v>
      </c>
      <c r="P221">
        <v>2</v>
      </c>
      <c r="R221" t="s">
        <v>64</v>
      </c>
      <c r="S221">
        <v>-16.526431843866199</v>
      </c>
      <c r="T221">
        <v>84.479173786591105</v>
      </c>
    </row>
    <row r="222" spans="1:20">
      <c r="A222" t="s">
        <v>849</v>
      </c>
      <c r="B222" t="s">
        <v>850</v>
      </c>
      <c r="C222" t="s">
        <v>48</v>
      </c>
      <c r="D222">
        <v>25324.8431673911</v>
      </c>
      <c r="E222" s="9">
        <v>45818</v>
      </c>
      <c r="F222" t="s">
        <v>851</v>
      </c>
      <c r="G222" t="s">
        <v>59</v>
      </c>
      <c r="H222" t="s">
        <v>69</v>
      </c>
      <c r="I222" t="s">
        <v>99</v>
      </c>
      <c r="J222" t="s">
        <v>173</v>
      </c>
      <c r="K222" t="s">
        <v>852</v>
      </c>
      <c r="L222" t="s">
        <v>29</v>
      </c>
      <c r="M222">
        <v>2915.8783354642301</v>
      </c>
      <c r="N222">
        <v>0</v>
      </c>
      <c r="O222" t="s">
        <v>54</v>
      </c>
      <c r="P222">
        <v>2</v>
      </c>
      <c r="R222" t="s">
        <v>102</v>
      </c>
      <c r="S222">
        <v>-29.673377448498599</v>
      </c>
      <c r="T222">
        <v>99.822245060905104</v>
      </c>
    </row>
    <row r="223" spans="1:20">
      <c r="A223" t="s">
        <v>853</v>
      </c>
      <c r="B223" t="s">
        <v>854</v>
      </c>
      <c r="C223" t="s">
        <v>85</v>
      </c>
      <c r="D223">
        <v>40837.648187131803</v>
      </c>
      <c r="E223" s="9">
        <v>45818</v>
      </c>
      <c r="F223" t="s">
        <v>855</v>
      </c>
      <c r="G223" t="s">
        <v>141</v>
      </c>
      <c r="H223" t="s">
        <v>38</v>
      </c>
      <c r="I223" t="s">
        <v>26</v>
      </c>
      <c r="J223" t="s">
        <v>27</v>
      </c>
      <c r="K223" t="s">
        <v>856</v>
      </c>
      <c r="L223" t="s">
        <v>120</v>
      </c>
      <c r="M223">
        <v>1866.45896468564</v>
      </c>
      <c r="N223">
        <v>0</v>
      </c>
      <c r="O223" t="s">
        <v>54</v>
      </c>
      <c r="P223">
        <v>3</v>
      </c>
      <c r="R223" t="s">
        <v>102</v>
      </c>
      <c r="S223">
        <v>1.68284694022796</v>
      </c>
      <c r="T223">
        <v>88.088142377473702</v>
      </c>
    </row>
    <row r="224" spans="1:20">
      <c r="A224" t="s">
        <v>857</v>
      </c>
      <c r="B224" t="s">
        <v>428</v>
      </c>
      <c r="C224" t="s">
        <v>85</v>
      </c>
      <c r="D224">
        <v>9397.4118867566194</v>
      </c>
      <c r="E224" s="9">
        <v>45819</v>
      </c>
      <c r="F224" t="s">
        <v>858</v>
      </c>
      <c r="G224" t="s">
        <v>92</v>
      </c>
      <c r="H224" t="s">
        <v>93</v>
      </c>
      <c r="I224" t="s">
        <v>51</v>
      </c>
      <c r="J224" t="s">
        <v>87</v>
      </c>
      <c r="K224" t="s">
        <v>859</v>
      </c>
      <c r="L224" t="s">
        <v>155</v>
      </c>
      <c r="M224">
        <v>2416.88667160143</v>
      </c>
      <c r="N224">
        <v>0</v>
      </c>
      <c r="O224" t="s">
        <v>101</v>
      </c>
      <c r="P224">
        <v>1</v>
      </c>
      <c r="R224" t="s">
        <v>82</v>
      </c>
      <c r="S224">
        <v>0.88017144310965301</v>
      </c>
      <c r="T224">
        <v>98.444195358336799</v>
      </c>
    </row>
    <row r="225" spans="1:20">
      <c r="A225" t="s">
        <v>860</v>
      </c>
      <c r="B225" t="s">
        <v>850</v>
      </c>
      <c r="C225" t="s">
        <v>22</v>
      </c>
      <c r="D225">
        <v>41890.790371224401</v>
      </c>
      <c r="E225" s="9">
        <v>45820</v>
      </c>
      <c r="F225" t="s">
        <v>861</v>
      </c>
      <c r="G225" t="s">
        <v>163</v>
      </c>
      <c r="H225" t="s">
        <v>106</v>
      </c>
      <c r="I225" t="s">
        <v>99</v>
      </c>
      <c r="J225" t="s">
        <v>40</v>
      </c>
      <c r="K225" t="s">
        <v>862</v>
      </c>
      <c r="L225" t="s">
        <v>81</v>
      </c>
      <c r="M225">
        <v>3851.4513914060699</v>
      </c>
      <c r="N225">
        <v>264.09463087817801</v>
      </c>
      <c r="O225" t="s">
        <v>30</v>
      </c>
      <c r="P225">
        <v>0</v>
      </c>
      <c r="Q225" t="s">
        <v>44</v>
      </c>
      <c r="R225" t="s">
        <v>82</v>
      </c>
      <c r="S225">
        <v>-23.657963767241998</v>
      </c>
      <c r="T225">
        <v>29.775415367224401</v>
      </c>
    </row>
    <row r="226" spans="1:20">
      <c r="A226" t="s">
        <v>863</v>
      </c>
      <c r="B226" t="s">
        <v>864</v>
      </c>
      <c r="C226" t="s">
        <v>35</v>
      </c>
      <c r="D226">
        <v>17832.586345737898</v>
      </c>
      <c r="E226" s="9">
        <v>45820</v>
      </c>
      <c r="F226" t="s">
        <v>865</v>
      </c>
      <c r="G226" t="s">
        <v>50</v>
      </c>
      <c r="H226" t="s">
        <v>38</v>
      </c>
      <c r="I226" t="s">
        <v>99</v>
      </c>
      <c r="J226" t="s">
        <v>40</v>
      </c>
      <c r="K226" t="s">
        <v>866</v>
      </c>
      <c r="L226" t="s">
        <v>53</v>
      </c>
      <c r="M226">
        <v>2221.3051262179702</v>
      </c>
      <c r="N226">
        <v>321.95397853388198</v>
      </c>
      <c r="O226" t="s">
        <v>101</v>
      </c>
      <c r="P226">
        <v>3</v>
      </c>
      <c r="Q226" t="s">
        <v>55</v>
      </c>
      <c r="R226" t="s">
        <v>82</v>
      </c>
      <c r="S226">
        <v>7.8250571028812601</v>
      </c>
      <c r="T226">
        <v>80.066394152531103</v>
      </c>
    </row>
    <row r="227" spans="1:20">
      <c r="A227" t="s">
        <v>867</v>
      </c>
      <c r="B227" t="s">
        <v>428</v>
      </c>
      <c r="C227" t="s">
        <v>48</v>
      </c>
      <c r="D227">
        <v>25164.188538380298</v>
      </c>
      <c r="E227" s="9">
        <v>45821</v>
      </c>
      <c r="F227" t="s">
        <v>868</v>
      </c>
      <c r="G227" t="s">
        <v>37</v>
      </c>
      <c r="H227" t="s">
        <v>93</v>
      </c>
      <c r="I227" t="s">
        <v>51</v>
      </c>
      <c r="J227" t="s">
        <v>27</v>
      </c>
      <c r="K227" t="s">
        <v>869</v>
      </c>
      <c r="L227" t="s">
        <v>155</v>
      </c>
      <c r="M227">
        <v>4190.2835687789202</v>
      </c>
      <c r="N227">
        <v>217.507297170112</v>
      </c>
      <c r="O227" t="s">
        <v>30</v>
      </c>
      <c r="P227">
        <v>1</v>
      </c>
      <c r="Q227" t="s">
        <v>31</v>
      </c>
      <c r="R227" t="s">
        <v>102</v>
      </c>
      <c r="S227">
        <v>4.56955978955797</v>
      </c>
      <c r="T227">
        <v>40.521512329927901</v>
      </c>
    </row>
    <row r="228" spans="1:20">
      <c r="A228" t="s">
        <v>870</v>
      </c>
      <c r="B228" t="s">
        <v>505</v>
      </c>
      <c r="C228" t="s">
        <v>35</v>
      </c>
      <c r="D228">
        <v>26799.978974789599</v>
      </c>
      <c r="E228" s="9">
        <v>45823</v>
      </c>
      <c r="F228" t="s">
        <v>871</v>
      </c>
      <c r="G228" t="s">
        <v>172</v>
      </c>
      <c r="H228" t="s">
        <v>106</v>
      </c>
      <c r="I228" t="s">
        <v>39</v>
      </c>
      <c r="J228" t="s">
        <v>27</v>
      </c>
      <c r="K228" t="s">
        <v>872</v>
      </c>
      <c r="L228" t="s">
        <v>155</v>
      </c>
      <c r="M228">
        <v>2091.2141120096699</v>
      </c>
      <c r="N228">
        <v>0</v>
      </c>
      <c r="O228" t="s">
        <v>101</v>
      </c>
      <c r="P228">
        <v>1</v>
      </c>
      <c r="Q228" t="s">
        <v>31</v>
      </c>
      <c r="R228" t="s">
        <v>64</v>
      </c>
      <c r="S228">
        <v>-1.8575972000422301</v>
      </c>
      <c r="T228">
        <v>75.899576249072794</v>
      </c>
    </row>
    <row r="229" spans="1:20">
      <c r="A229" t="s">
        <v>873</v>
      </c>
      <c r="B229" t="s">
        <v>113</v>
      </c>
      <c r="C229" t="s">
        <v>48</v>
      </c>
      <c r="D229">
        <v>26429.621734224798</v>
      </c>
      <c r="E229" s="9">
        <v>45823</v>
      </c>
      <c r="F229" t="s">
        <v>874</v>
      </c>
      <c r="G229" t="s">
        <v>37</v>
      </c>
      <c r="H229" t="s">
        <v>93</v>
      </c>
      <c r="I229" t="s">
        <v>51</v>
      </c>
      <c r="J229" t="s">
        <v>40</v>
      </c>
      <c r="K229" t="s">
        <v>875</v>
      </c>
      <c r="L229" t="s">
        <v>81</v>
      </c>
      <c r="M229">
        <v>4071.0145922229499</v>
      </c>
      <c r="N229">
        <v>0</v>
      </c>
      <c r="O229" t="s">
        <v>43</v>
      </c>
      <c r="P229">
        <v>0</v>
      </c>
      <c r="Q229" t="s">
        <v>95</v>
      </c>
      <c r="R229" t="s">
        <v>82</v>
      </c>
      <c r="S229">
        <v>-18.420959523658301</v>
      </c>
      <c r="T229">
        <v>47.282562489630202</v>
      </c>
    </row>
    <row r="230" spans="1:20">
      <c r="A230" t="s">
        <v>876</v>
      </c>
      <c r="B230" t="s">
        <v>678</v>
      </c>
      <c r="C230" t="s">
        <v>35</v>
      </c>
      <c r="D230">
        <v>7139.9842540079098</v>
      </c>
      <c r="E230" s="9">
        <v>45823</v>
      </c>
      <c r="F230" t="s">
        <v>877</v>
      </c>
      <c r="G230" t="s">
        <v>92</v>
      </c>
      <c r="H230" t="s">
        <v>106</v>
      </c>
      <c r="I230" t="s">
        <v>26</v>
      </c>
      <c r="J230" t="s">
        <v>60</v>
      </c>
      <c r="K230" t="s">
        <v>878</v>
      </c>
      <c r="L230" t="s">
        <v>42</v>
      </c>
      <c r="M230">
        <v>4590.2419295330701</v>
      </c>
      <c r="N230">
        <v>0</v>
      </c>
      <c r="O230" t="s">
        <v>62</v>
      </c>
      <c r="P230">
        <v>0</v>
      </c>
      <c r="Q230" t="s">
        <v>55</v>
      </c>
      <c r="R230" t="s">
        <v>82</v>
      </c>
      <c r="S230">
        <v>23.556679682648799</v>
      </c>
      <c r="T230">
        <v>17.139831232475199</v>
      </c>
    </row>
    <row r="231" spans="1:20">
      <c r="A231" t="s">
        <v>879</v>
      </c>
      <c r="B231" t="s">
        <v>170</v>
      </c>
      <c r="C231" t="s">
        <v>22</v>
      </c>
      <c r="D231">
        <v>38412.197121997597</v>
      </c>
      <c r="E231" s="9">
        <v>45825</v>
      </c>
      <c r="F231" t="s">
        <v>880</v>
      </c>
      <c r="G231" t="s">
        <v>141</v>
      </c>
      <c r="H231" t="s">
        <v>25</v>
      </c>
      <c r="I231" t="s">
        <v>99</v>
      </c>
      <c r="J231" t="s">
        <v>60</v>
      </c>
      <c r="K231" t="s">
        <v>881</v>
      </c>
      <c r="L231" t="s">
        <v>53</v>
      </c>
      <c r="M231">
        <v>1248.76451921998</v>
      </c>
      <c r="N231">
        <v>259.373923557355</v>
      </c>
      <c r="O231" t="s">
        <v>62</v>
      </c>
      <c r="P231">
        <v>1</v>
      </c>
      <c r="Q231" t="s">
        <v>95</v>
      </c>
      <c r="R231" t="s">
        <v>45</v>
      </c>
      <c r="S231">
        <v>19.992581277468101</v>
      </c>
      <c r="T231">
        <v>81.535462385556102</v>
      </c>
    </row>
    <row r="232" spans="1:20">
      <c r="A232" t="s">
        <v>882</v>
      </c>
      <c r="B232" t="s">
        <v>883</v>
      </c>
      <c r="C232" t="s">
        <v>22</v>
      </c>
      <c r="D232">
        <v>18524.601027343801</v>
      </c>
      <c r="E232" s="9">
        <v>45826</v>
      </c>
      <c r="F232" t="s">
        <v>884</v>
      </c>
      <c r="G232" t="s">
        <v>37</v>
      </c>
      <c r="H232" t="s">
        <v>93</v>
      </c>
      <c r="I232" t="s">
        <v>51</v>
      </c>
      <c r="J232" t="s">
        <v>173</v>
      </c>
      <c r="K232" t="s">
        <v>885</v>
      </c>
      <c r="L232" t="s">
        <v>120</v>
      </c>
      <c r="M232">
        <v>4593.3123713130899</v>
      </c>
      <c r="N232">
        <v>25.5827532227379</v>
      </c>
      <c r="O232" t="s">
        <v>30</v>
      </c>
      <c r="P232">
        <v>3</v>
      </c>
      <c r="Q232" t="s">
        <v>63</v>
      </c>
      <c r="R232" t="s">
        <v>32</v>
      </c>
      <c r="S232">
        <v>28.9811998845815</v>
      </c>
      <c r="T232">
        <v>60.266996094450498</v>
      </c>
    </row>
    <row r="233" spans="1:20">
      <c r="A233" t="s">
        <v>886</v>
      </c>
      <c r="B233" t="s">
        <v>312</v>
      </c>
      <c r="C233" t="s">
        <v>85</v>
      </c>
      <c r="D233">
        <v>24054.293754221901</v>
      </c>
      <c r="E233" s="9">
        <v>45827</v>
      </c>
      <c r="F233" t="s">
        <v>887</v>
      </c>
      <c r="G233" t="s">
        <v>37</v>
      </c>
      <c r="H233" t="s">
        <v>74</v>
      </c>
      <c r="I233" t="s">
        <v>51</v>
      </c>
      <c r="J233" t="s">
        <v>40</v>
      </c>
      <c r="K233" t="s">
        <v>888</v>
      </c>
      <c r="L233" t="s">
        <v>155</v>
      </c>
      <c r="N233">
        <v>120.829460409593</v>
      </c>
      <c r="O233" t="s">
        <v>30</v>
      </c>
      <c r="P233">
        <v>4</v>
      </c>
      <c r="Q233" t="s">
        <v>95</v>
      </c>
      <c r="R233" t="s">
        <v>82</v>
      </c>
      <c r="S233">
        <v>11.3040774425614</v>
      </c>
      <c r="T233">
        <v>84.0603622773192</v>
      </c>
    </row>
    <row r="234" spans="1:20">
      <c r="A234" t="s">
        <v>889</v>
      </c>
      <c r="B234" t="s">
        <v>890</v>
      </c>
      <c r="C234" t="s">
        <v>48</v>
      </c>
      <c r="D234">
        <v>30417.005592449299</v>
      </c>
      <c r="E234" s="9">
        <v>45827</v>
      </c>
      <c r="F234" t="s">
        <v>891</v>
      </c>
      <c r="G234" t="s">
        <v>163</v>
      </c>
      <c r="H234" t="s">
        <v>38</v>
      </c>
      <c r="I234" t="s">
        <v>51</v>
      </c>
      <c r="J234" t="s">
        <v>27</v>
      </c>
      <c r="K234" t="s">
        <v>690</v>
      </c>
      <c r="L234" t="s">
        <v>53</v>
      </c>
      <c r="M234">
        <v>2013.9375294548699</v>
      </c>
      <c r="N234">
        <v>0</v>
      </c>
      <c r="O234" t="s">
        <v>62</v>
      </c>
      <c r="P234">
        <v>3</v>
      </c>
      <c r="Q234" t="s">
        <v>95</v>
      </c>
      <c r="R234" t="s">
        <v>64</v>
      </c>
      <c r="S234">
        <v>16.898126726592601</v>
      </c>
      <c r="T234">
        <v>5.53497892180952</v>
      </c>
    </row>
    <row r="235" spans="1:20">
      <c r="A235" t="s">
        <v>892</v>
      </c>
      <c r="B235" t="s">
        <v>273</v>
      </c>
      <c r="C235" t="s">
        <v>22</v>
      </c>
      <c r="D235">
        <v>4484.6187510085701</v>
      </c>
      <c r="E235" s="9">
        <v>45827</v>
      </c>
      <c r="F235" t="s">
        <v>893</v>
      </c>
      <c r="G235" t="s">
        <v>59</v>
      </c>
      <c r="H235" t="s">
        <v>38</v>
      </c>
      <c r="I235" t="s">
        <v>51</v>
      </c>
      <c r="J235" t="s">
        <v>40</v>
      </c>
      <c r="K235" t="s">
        <v>894</v>
      </c>
      <c r="L235" t="s">
        <v>155</v>
      </c>
      <c r="M235">
        <v>451.76291109538698</v>
      </c>
      <c r="N235">
        <v>246.00086471604101</v>
      </c>
      <c r="O235" t="s">
        <v>101</v>
      </c>
      <c r="P235">
        <v>4</v>
      </c>
      <c r="Q235" t="s">
        <v>31</v>
      </c>
      <c r="R235" t="s">
        <v>32</v>
      </c>
      <c r="S235">
        <v>-10.3936141106973</v>
      </c>
      <c r="T235">
        <v>86.669134839939503</v>
      </c>
    </row>
    <row r="236" spans="1:20">
      <c r="A236" t="s">
        <v>895</v>
      </c>
      <c r="B236" t="s">
        <v>896</v>
      </c>
      <c r="C236" t="s">
        <v>22</v>
      </c>
      <c r="D236">
        <v>37874.256695394201</v>
      </c>
      <c r="E236" s="9">
        <v>45828</v>
      </c>
      <c r="F236" t="s">
        <v>897</v>
      </c>
      <c r="G236" t="s">
        <v>181</v>
      </c>
      <c r="H236" t="s">
        <v>93</v>
      </c>
      <c r="I236" t="s">
        <v>51</v>
      </c>
      <c r="J236" t="s">
        <v>173</v>
      </c>
      <c r="K236" t="s">
        <v>898</v>
      </c>
      <c r="L236" t="s">
        <v>81</v>
      </c>
      <c r="M236">
        <v>801.83655306631999</v>
      </c>
      <c r="N236">
        <v>0</v>
      </c>
      <c r="O236" t="s">
        <v>101</v>
      </c>
      <c r="P236">
        <v>4</v>
      </c>
      <c r="R236" t="s">
        <v>64</v>
      </c>
      <c r="S236">
        <v>28.064397279545201</v>
      </c>
      <c r="T236">
        <v>30.457536628856801</v>
      </c>
    </row>
    <row r="237" spans="1:20">
      <c r="A237" t="s">
        <v>899</v>
      </c>
      <c r="B237" t="s">
        <v>257</v>
      </c>
      <c r="C237" t="s">
        <v>85</v>
      </c>
      <c r="D237">
        <v>36038.108823451599</v>
      </c>
      <c r="E237" s="9">
        <v>45830</v>
      </c>
      <c r="F237" t="s">
        <v>208</v>
      </c>
      <c r="G237" t="s">
        <v>181</v>
      </c>
      <c r="H237" t="s">
        <v>69</v>
      </c>
      <c r="I237" t="s">
        <v>75</v>
      </c>
      <c r="J237" t="s">
        <v>87</v>
      </c>
      <c r="K237" t="s">
        <v>900</v>
      </c>
      <c r="L237" t="s">
        <v>42</v>
      </c>
      <c r="M237">
        <v>3703.9329391573801</v>
      </c>
      <c r="N237">
        <v>0</v>
      </c>
      <c r="O237" t="s">
        <v>54</v>
      </c>
      <c r="P237">
        <v>2</v>
      </c>
      <c r="Q237" t="s">
        <v>63</v>
      </c>
      <c r="R237" t="s">
        <v>133</v>
      </c>
      <c r="S237">
        <v>-5.7084066229113404</v>
      </c>
      <c r="T237">
        <v>73.543659389218604</v>
      </c>
    </row>
    <row r="238" spans="1:20">
      <c r="A238" t="s">
        <v>901</v>
      </c>
      <c r="B238" t="s">
        <v>308</v>
      </c>
      <c r="C238" t="s">
        <v>35</v>
      </c>
      <c r="D238">
        <v>4437.5582460224296</v>
      </c>
      <c r="E238" s="9">
        <v>45831</v>
      </c>
      <c r="F238" t="s">
        <v>902</v>
      </c>
      <c r="G238" t="s">
        <v>172</v>
      </c>
      <c r="H238" t="s">
        <v>93</v>
      </c>
      <c r="I238" t="s">
        <v>99</v>
      </c>
      <c r="J238" t="s">
        <v>173</v>
      </c>
      <c r="K238" t="s">
        <v>903</v>
      </c>
      <c r="L238" t="s">
        <v>42</v>
      </c>
      <c r="M238">
        <v>2182.7484631422399</v>
      </c>
      <c r="N238">
        <v>64.174963307347397</v>
      </c>
      <c r="O238" t="s">
        <v>54</v>
      </c>
      <c r="P238">
        <v>4</v>
      </c>
      <c r="Q238" t="s">
        <v>55</v>
      </c>
      <c r="R238" t="s">
        <v>133</v>
      </c>
      <c r="S238">
        <v>-0.165549127161391</v>
      </c>
      <c r="T238">
        <v>78.472341517935803</v>
      </c>
    </row>
    <row r="239" spans="1:20">
      <c r="A239" t="s">
        <v>904</v>
      </c>
      <c r="B239" t="s">
        <v>905</v>
      </c>
      <c r="C239" t="s">
        <v>22</v>
      </c>
      <c r="D239">
        <v>29394.704384414701</v>
      </c>
      <c r="E239" s="9">
        <v>45831</v>
      </c>
      <c r="F239" t="s">
        <v>906</v>
      </c>
      <c r="G239" t="s">
        <v>172</v>
      </c>
      <c r="H239" t="s">
        <v>25</v>
      </c>
      <c r="I239" t="s">
        <v>39</v>
      </c>
      <c r="J239" t="s">
        <v>173</v>
      </c>
      <c r="K239" t="s">
        <v>907</v>
      </c>
      <c r="L239" t="s">
        <v>120</v>
      </c>
      <c r="M239">
        <v>1247.0990673060001</v>
      </c>
      <c r="N239">
        <v>24.6544935549123</v>
      </c>
      <c r="O239" t="s">
        <v>43</v>
      </c>
      <c r="P239">
        <v>4</v>
      </c>
      <c r="R239" t="s">
        <v>64</v>
      </c>
      <c r="S239">
        <v>-13.026845412818099</v>
      </c>
      <c r="T239">
        <v>73.187325306272001</v>
      </c>
    </row>
    <row r="240" spans="1:20">
      <c r="A240" t="s">
        <v>908</v>
      </c>
      <c r="B240" t="s">
        <v>597</v>
      </c>
      <c r="C240" t="s">
        <v>22</v>
      </c>
      <c r="D240">
        <v>19003.196121290101</v>
      </c>
      <c r="E240" s="9">
        <v>45832</v>
      </c>
      <c r="F240" t="s">
        <v>909</v>
      </c>
      <c r="G240" t="s">
        <v>163</v>
      </c>
      <c r="H240" t="s">
        <v>106</v>
      </c>
      <c r="I240" t="s">
        <v>75</v>
      </c>
      <c r="J240" t="s">
        <v>173</v>
      </c>
      <c r="K240" t="s">
        <v>910</v>
      </c>
      <c r="L240" t="s">
        <v>155</v>
      </c>
      <c r="M240">
        <v>2440.1138083300202</v>
      </c>
      <c r="N240">
        <v>0</v>
      </c>
      <c r="O240" t="s">
        <v>54</v>
      </c>
      <c r="P240">
        <v>1</v>
      </c>
      <c r="Q240" t="s">
        <v>44</v>
      </c>
      <c r="R240" t="s">
        <v>64</v>
      </c>
      <c r="S240">
        <v>9.6954639575559192</v>
      </c>
      <c r="T240">
        <v>18.421989929635899</v>
      </c>
    </row>
    <row r="241" spans="1:20">
      <c r="A241" t="s">
        <v>911</v>
      </c>
      <c r="B241" t="s">
        <v>383</v>
      </c>
      <c r="C241" t="s">
        <v>22</v>
      </c>
      <c r="D241">
        <v>36332.169744513798</v>
      </c>
      <c r="E241" s="9">
        <v>45832</v>
      </c>
      <c r="F241" t="s">
        <v>912</v>
      </c>
      <c r="G241" t="s">
        <v>163</v>
      </c>
      <c r="H241" t="s">
        <v>93</v>
      </c>
      <c r="I241" t="s">
        <v>39</v>
      </c>
      <c r="J241" t="s">
        <v>87</v>
      </c>
      <c r="K241" t="s">
        <v>913</v>
      </c>
      <c r="L241" t="s">
        <v>155</v>
      </c>
      <c r="M241">
        <v>3975.9862629171298</v>
      </c>
      <c r="N241">
        <v>0</v>
      </c>
      <c r="O241" t="s">
        <v>30</v>
      </c>
      <c r="P241">
        <v>3</v>
      </c>
      <c r="Q241" t="s">
        <v>31</v>
      </c>
      <c r="R241" t="s">
        <v>133</v>
      </c>
      <c r="S241">
        <v>8.7455575356783495</v>
      </c>
      <c r="T241">
        <v>64.575917793803299</v>
      </c>
    </row>
    <row r="242" spans="1:20">
      <c r="A242" t="s">
        <v>914</v>
      </c>
      <c r="B242" t="s">
        <v>915</v>
      </c>
      <c r="C242" t="s">
        <v>48</v>
      </c>
      <c r="D242">
        <v>6779.2207281516003</v>
      </c>
      <c r="E242" s="9">
        <v>45833</v>
      </c>
      <c r="F242" t="s">
        <v>916</v>
      </c>
      <c r="G242" t="s">
        <v>172</v>
      </c>
      <c r="H242" t="s">
        <v>93</v>
      </c>
      <c r="I242" t="s">
        <v>26</v>
      </c>
      <c r="J242" t="s">
        <v>40</v>
      </c>
      <c r="K242" t="s">
        <v>917</v>
      </c>
      <c r="L242" t="s">
        <v>53</v>
      </c>
      <c r="M242">
        <v>4520.9569553562997</v>
      </c>
      <c r="N242">
        <v>0</v>
      </c>
      <c r="O242" t="s">
        <v>30</v>
      </c>
      <c r="P242">
        <v>4</v>
      </c>
      <c r="R242" t="s">
        <v>32</v>
      </c>
      <c r="S242">
        <v>-2.3961529951462901</v>
      </c>
      <c r="T242">
        <v>67.599248975633998</v>
      </c>
    </row>
    <row r="243" spans="1:20">
      <c r="A243" t="s">
        <v>914</v>
      </c>
      <c r="B243" t="s">
        <v>915</v>
      </c>
      <c r="C243" t="s">
        <v>48</v>
      </c>
      <c r="D243">
        <v>6779.2207281516003</v>
      </c>
      <c r="E243" s="9">
        <v>45833</v>
      </c>
      <c r="F243" t="s">
        <v>916</v>
      </c>
      <c r="G243" t="s">
        <v>172</v>
      </c>
      <c r="H243" t="s">
        <v>93</v>
      </c>
      <c r="I243" t="s">
        <v>26</v>
      </c>
      <c r="J243" t="s">
        <v>40</v>
      </c>
      <c r="K243" t="s">
        <v>917</v>
      </c>
      <c r="L243" t="s">
        <v>53</v>
      </c>
      <c r="M243">
        <v>4520.9569553562997</v>
      </c>
      <c r="N243">
        <v>0</v>
      </c>
      <c r="O243" t="s">
        <v>30</v>
      </c>
      <c r="P243">
        <v>4</v>
      </c>
      <c r="R243" t="s">
        <v>32</v>
      </c>
      <c r="S243">
        <v>-2.3961529951462901</v>
      </c>
      <c r="T243">
        <v>67.599248975633998</v>
      </c>
    </row>
    <row r="244" spans="1:20">
      <c r="A244" t="s">
        <v>918</v>
      </c>
      <c r="B244" t="s">
        <v>113</v>
      </c>
      <c r="C244" t="s">
        <v>48</v>
      </c>
      <c r="D244">
        <v>2676.6103459381902</v>
      </c>
      <c r="E244" s="9">
        <v>45833</v>
      </c>
      <c r="F244" t="s">
        <v>919</v>
      </c>
      <c r="G244" t="s">
        <v>163</v>
      </c>
      <c r="H244" t="s">
        <v>106</v>
      </c>
      <c r="I244" t="s">
        <v>51</v>
      </c>
      <c r="J244" t="s">
        <v>87</v>
      </c>
      <c r="K244" t="s">
        <v>875</v>
      </c>
      <c r="L244" t="s">
        <v>81</v>
      </c>
      <c r="M244">
        <v>4657.5791712010696</v>
      </c>
      <c r="N244">
        <v>0</v>
      </c>
      <c r="O244" t="s">
        <v>30</v>
      </c>
      <c r="P244">
        <v>4</v>
      </c>
      <c r="Q244" t="s">
        <v>63</v>
      </c>
      <c r="R244" t="s">
        <v>64</v>
      </c>
      <c r="S244">
        <v>-9.4095685675629905</v>
      </c>
      <c r="T244">
        <v>46.268783168782697</v>
      </c>
    </row>
    <row r="245" spans="1:20">
      <c r="A245" t="s">
        <v>920</v>
      </c>
      <c r="B245" t="s">
        <v>792</v>
      </c>
      <c r="C245" t="s">
        <v>22</v>
      </c>
      <c r="D245">
        <v>4485.5924645531804</v>
      </c>
      <c r="E245" s="9">
        <v>45833</v>
      </c>
      <c r="F245" t="s">
        <v>921</v>
      </c>
      <c r="G245" t="s">
        <v>163</v>
      </c>
      <c r="H245" t="s">
        <v>106</v>
      </c>
      <c r="I245" t="s">
        <v>26</v>
      </c>
      <c r="J245" t="s">
        <v>173</v>
      </c>
      <c r="K245" t="s">
        <v>922</v>
      </c>
      <c r="L245" t="s">
        <v>120</v>
      </c>
      <c r="M245">
        <v>3384.0555617503901</v>
      </c>
      <c r="N245">
        <v>375.89908179346702</v>
      </c>
      <c r="O245" t="s">
        <v>101</v>
      </c>
      <c r="P245">
        <v>2</v>
      </c>
      <c r="Q245" t="s">
        <v>63</v>
      </c>
      <c r="R245" t="s">
        <v>45</v>
      </c>
      <c r="S245">
        <v>-14.689066273546199</v>
      </c>
      <c r="T245">
        <v>92.833577200562203</v>
      </c>
    </row>
    <row r="246" spans="1:20">
      <c r="A246" t="s">
        <v>923</v>
      </c>
      <c r="B246" t="s">
        <v>809</v>
      </c>
      <c r="C246" t="s">
        <v>35</v>
      </c>
      <c r="D246">
        <v>7472.1806861207097</v>
      </c>
      <c r="E246" s="9">
        <v>45834</v>
      </c>
      <c r="F246" t="s">
        <v>924</v>
      </c>
      <c r="G246" t="s">
        <v>92</v>
      </c>
      <c r="H246" t="s">
        <v>25</v>
      </c>
      <c r="I246" t="s">
        <v>51</v>
      </c>
      <c r="J246" t="s">
        <v>60</v>
      </c>
      <c r="K246" t="s">
        <v>925</v>
      </c>
      <c r="L246" t="s">
        <v>29</v>
      </c>
      <c r="M246">
        <v>4614.8500438538604</v>
      </c>
      <c r="N246">
        <v>0</v>
      </c>
      <c r="O246" t="s">
        <v>101</v>
      </c>
      <c r="P246">
        <v>2</v>
      </c>
      <c r="Q246" t="s">
        <v>44</v>
      </c>
      <c r="R246" t="s">
        <v>45</v>
      </c>
      <c r="S246">
        <v>-1.32002729674132</v>
      </c>
      <c r="T246">
        <v>49.924290752477503</v>
      </c>
    </row>
    <row r="247" spans="1:20">
      <c r="A247" t="s">
        <v>926</v>
      </c>
      <c r="B247" t="s">
        <v>261</v>
      </c>
      <c r="C247" t="s">
        <v>22</v>
      </c>
      <c r="D247">
        <v>3405.1752948081098</v>
      </c>
      <c r="E247" s="9">
        <v>45834</v>
      </c>
      <c r="F247" t="s">
        <v>927</v>
      </c>
      <c r="G247" t="s">
        <v>24</v>
      </c>
      <c r="H247" t="s">
        <v>25</v>
      </c>
      <c r="I247" t="s">
        <v>39</v>
      </c>
      <c r="J247" t="s">
        <v>40</v>
      </c>
      <c r="K247" t="s">
        <v>928</v>
      </c>
      <c r="L247" t="s">
        <v>120</v>
      </c>
      <c r="M247">
        <v>3936.1641033368001</v>
      </c>
      <c r="N247">
        <v>0</v>
      </c>
      <c r="O247" t="s">
        <v>62</v>
      </c>
      <c r="P247">
        <v>1</v>
      </c>
      <c r="R247" t="s">
        <v>32</v>
      </c>
      <c r="S247">
        <v>25.065518558109599</v>
      </c>
      <c r="T247">
        <v>92.204880212710705</v>
      </c>
    </row>
    <row r="248" spans="1:20">
      <c r="A248" t="s">
        <v>929</v>
      </c>
      <c r="B248" t="s">
        <v>593</v>
      </c>
      <c r="C248" t="s">
        <v>22</v>
      </c>
      <c r="D248">
        <v>7818.13983007349</v>
      </c>
      <c r="E248" s="9">
        <v>45834</v>
      </c>
      <c r="F248" t="s">
        <v>930</v>
      </c>
      <c r="G248" t="s">
        <v>59</v>
      </c>
      <c r="H248" t="s">
        <v>25</v>
      </c>
      <c r="I248" t="s">
        <v>26</v>
      </c>
      <c r="J248" t="s">
        <v>87</v>
      </c>
      <c r="K248" t="s">
        <v>931</v>
      </c>
      <c r="L248" t="s">
        <v>155</v>
      </c>
      <c r="M248">
        <v>3706.7803725988601</v>
      </c>
      <c r="N248">
        <v>0</v>
      </c>
      <c r="O248" t="s">
        <v>54</v>
      </c>
      <c r="P248">
        <v>2</v>
      </c>
      <c r="Q248" t="s">
        <v>63</v>
      </c>
      <c r="R248" t="s">
        <v>32</v>
      </c>
      <c r="S248">
        <v>-27.8022181440708</v>
      </c>
      <c r="T248">
        <v>77.720424735085203</v>
      </c>
    </row>
    <row r="249" spans="1:20">
      <c r="A249" t="s">
        <v>932</v>
      </c>
      <c r="B249" t="s">
        <v>277</v>
      </c>
      <c r="C249" t="s">
        <v>48</v>
      </c>
      <c r="D249">
        <v>18201.618943830701</v>
      </c>
      <c r="E249" s="9">
        <v>45835</v>
      </c>
      <c r="F249" t="s">
        <v>933</v>
      </c>
      <c r="G249" t="s">
        <v>59</v>
      </c>
      <c r="H249" t="s">
        <v>69</v>
      </c>
      <c r="I249" t="s">
        <v>99</v>
      </c>
      <c r="J249" t="s">
        <v>87</v>
      </c>
      <c r="K249" t="s">
        <v>934</v>
      </c>
      <c r="L249" t="s">
        <v>155</v>
      </c>
      <c r="M249">
        <v>2347.8095473130302</v>
      </c>
      <c r="N249">
        <v>413.19515580027797</v>
      </c>
      <c r="O249" t="s">
        <v>62</v>
      </c>
      <c r="P249">
        <v>2</v>
      </c>
      <c r="R249" t="s">
        <v>82</v>
      </c>
      <c r="S249">
        <v>-9.8303845353288093</v>
      </c>
      <c r="T249">
        <v>8.4387947894987008</v>
      </c>
    </row>
    <row r="250" spans="1:20">
      <c r="A250" t="s">
        <v>935</v>
      </c>
      <c r="B250" t="s">
        <v>799</v>
      </c>
      <c r="C250" t="s">
        <v>48</v>
      </c>
      <c r="D250">
        <v>43374.027555628702</v>
      </c>
      <c r="E250" s="9">
        <v>45835</v>
      </c>
      <c r="F250" t="s">
        <v>936</v>
      </c>
      <c r="G250" t="s">
        <v>172</v>
      </c>
      <c r="H250" t="s">
        <v>69</v>
      </c>
      <c r="I250" t="s">
        <v>99</v>
      </c>
      <c r="J250" t="s">
        <v>40</v>
      </c>
      <c r="K250" t="s">
        <v>937</v>
      </c>
      <c r="L250" t="s">
        <v>155</v>
      </c>
      <c r="M250">
        <v>1664.2338699372399</v>
      </c>
      <c r="N250">
        <v>223.16317999328101</v>
      </c>
      <c r="O250" t="s">
        <v>62</v>
      </c>
      <c r="P250">
        <v>1</v>
      </c>
      <c r="Q250" t="s">
        <v>63</v>
      </c>
      <c r="R250" t="s">
        <v>45</v>
      </c>
      <c r="S250">
        <v>-23.216821929929399</v>
      </c>
      <c r="T250">
        <v>73.835127712119501</v>
      </c>
    </row>
    <row r="251" spans="1:20">
      <c r="A251" t="s">
        <v>938</v>
      </c>
      <c r="B251" t="s">
        <v>345</v>
      </c>
      <c r="C251" t="s">
        <v>85</v>
      </c>
      <c r="D251">
        <v>13687.862550542901</v>
      </c>
      <c r="E251" s="9">
        <v>45836</v>
      </c>
      <c r="F251" t="s">
        <v>939</v>
      </c>
      <c r="G251" t="s">
        <v>163</v>
      </c>
      <c r="H251" t="s">
        <v>38</v>
      </c>
      <c r="I251" t="s">
        <v>51</v>
      </c>
      <c r="J251" t="s">
        <v>87</v>
      </c>
      <c r="K251" t="s">
        <v>940</v>
      </c>
      <c r="L251" t="s">
        <v>120</v>
      </c>
      <c r="M251">
        <v>450.72099377265602</v>
      </c>
      <c r="N251">
        <v>0</v>
      </c>
      <c r="O251" t="s">
        <v>43</v>
      </c>
      <c r="P251">
        <v>0</v>
      </c>
      <c r="Q251" t="s">
        <v>44</v>
      </c>
      <c r="R251" t="s">
        <v>102</v>
      </c>
      <c r="S251">
        <v>14.053668071164999</v>
      </c>
      <c r="T251">
        <v>10.580035942414</v>
      </c>
    </row>
    <row r="252" spans="1:20">
      <c r="A252" t="s">
        <v>941</v>
      </c>
      <c r="B252" t="s">
        <v>942</v>
      </c>
      <c r="C252" t="s">
        <v>48</v>
      </c>
      <c r="D252">
        <v>28923.834509168199</v>
      </c>
      <c r="E252" s="9">
        <v>45838</v>
      </c>
      <c r="F252" t="s">
        <v>943</v>
      </c>
      <c r="G252" t="s">
        <v>172</v>
      </c>
      <c r="H252" t="s">
        <v>38</v>
      </c>
      <c r="I252" t="s">
        <v>51</v>
      </c>
      <c r="J252" t="s">
        <v>87</v>
      </c>
      <c r="K252" t="s">
        <v>944</v>
      </c>
      <c r="L252" t="s">
        <v>29</v>
      </c>
      <c r="M252">
        <v>2843.7571326779998</v>
      </c>
      <c r="N252">
        <v>0</v>
      </c>
      <c r="O252" t="s">
        <v>43</v>
      </c>
      <c r="P252">
        <v>2</v>
      </c>
      <c r="Q252" t="s">
        <v>55</v>
      </c>
      <c r="R252" t="s">
        <v>133</v>
      </c>
      <c r="S252">
        <v>13.308025292991401</v>
      </c>
      <c r="T252">
        <v>57.121390961479698</v>
      </c>
    </row>
    <row r="253" spans="1:20">
      <c r="A253" t="s">
        <v>945</v>
      </c>
      <c r="B253" t="s">
        <v>528</v>
      </c>
      <c r="C253" t="s">
        <v>22</v>
      </c>
      <c r="D253">
        <v>34260.120239203701</v>
      </c>
      <c r="E253" s="9">
        <v>45838</v>
      </c>
      <c r="F253" t="s">
        <v>946</v>
      </c>
      <c r="G253" t="s">
        <v>172</v>
      </c>
      <c r="H253" t="s">
        <v>106</v>
      </c>
      <c r="I253" t="s">
        <v>39</v>
      </c>
      <c r="J253" t="s">
        <v>173</v>
      </c>
      <c r="K253" t="s">
        <v>947</v>
      </c>
      <c r="L253" t="s">
        <v>81</v>
      </c>
      <c r="M253">
        <v>3142.0866727043999</v>
      </c>
      <c r="N253">
        <v>116.42927843804701</v>
      </c>
      <c r="O253" t="s">
        <v>62</v>
      </c>
      <c r="P253">
        <v>0</v>
      </c>
      <c r="Q253" t="s">
        <v>31</v>
      </c>
      <c r="R253" t="s">
        <v>45</v>
      </c>
      <c r="S253">
        <v>-5.4724189637296403</v>
      </c>
      <c r="T253">
        <v>93.624038780720298</v>
      </c>
    </row>
    <row r="254" spans="1:20">
      <c r="A254" t="s">
        <v>948</v>
      </c>
      <c r="B254" t="s">
        <v>949</v>
      </c>
      <c r="C254" t="s">
        <v>85</v>
      </c>
      <c r="D254">
        <v>13398.269829207</v>
      </c>
      <c r="E254" s="9">
        <v>45840</v>
      </c>
      <c r="F254" t="s">
        <v>950</v>
      </c>
      <c r="G254" t="s">
        <v>37</v>
      </c>
      <c r="H254" t="s">
        <v>74</v>
      </c>
      <c r="I254" t="s">
        <v>39</v>
      </c>
      <c r="J254" t="s">
        <v>27</v>
      </c>
      <c r="K254" t="s">
        <v>951</v>
      </c>
      <c r="L254" t="s">
        <v>29</v>
      </c>
      <c r="M254">
        <v>3519.2852106708701</v>
      </c>
      <c r="N254">
        <v>0</v>
      </c>
      <c r="O254" t="s">
        <v>43</v>
      </c>
      <c r="P254">
        <v>0</v>
      </c>
      <c r="Q254" t="s">
        <v>31</v>
      </c>
      <c r="R254" t="s">
        <v>133</v>
      </c>
      <c r="S254">
        <v>17.5434465215288</v>
      </c>
      <c r="T254">
        <v>10.1952549580277</v>
      </c>
    </row>
    <row r="255" spans="1:20">
      <c r="A255" t="s">
        <v>952</v>
      </c>
      <c r="B255" t="s">
        <v>953</v>
      </c>
      <c r="C255" t="s">
        <v>22</v>
      </c>
      <c r="D255">
        <v>2440.1337427818698</v>
      </c>
      <c r="E255" s="9">
        <v>45840</v>
      </c>
      <c r="F255" t="s">
        <v>954</v>
      </c>
      <c r="G255" t="s">
        <v>24</v>
      </c>
      <c r="H255" t="s">
        <v>38</v>
      </c>
      <c r="I255" t="s">
        <v>39</v>
      </c>
      <c r="J255" t="s">
        <v>27</v>
      </c>
      <c r="K255" t="s">
        <v>955</v>
      </c>
      <c r="L255" t="s">
        <v>53</v>
      </c>
      <c r="M255">
        <v>1676.3628419347001</v>
      </c>
      <c r="N255">
        <v>0</v>
      </c>
      <c r="O255" t="s">
        <v>101</v>
      </c>
      <c r="P255">
        <v>1</v>
      </c>
      <c r="Q255" t="s">
        <v>95</v>
      </c>
      <c r="R255" t="s">
        <v>82</v>
      </c>
      <c r="S255">
        <v>-10.7074900561277</v>
      </c>
      <c r="T255">
        <v>17.603968215497101</v>
      </c>
    </row>
    <row r="256" spans="1:20">
      <c r="A256" t="s">
        <v>956</v>
      </c>
      <c r="B256" t="s">
        <v>957</v>
      </c>
      <c r="C256" t="s">
        <v>35</v>
      </c>
      <c r="D256">
        <v>45532.516792323302</v>
      </c>
      <c r="E256" s="9">
        <v>45842</v>
      </c>
      <c r="F256" t="s">
        <v>958</v>
      </c>
      <c r="G256" t="s">
        <v>141</v>
      </c>
      <c r="H256" t="s">
        <v>69</v>
      </c>
      <c r="I256" t="s">
        <v>51</v>
      </c>
      <c r="J256" t="s">
        <v>27</v>
      </c>
      <c r="K256" t="s">
        <v>959</v>
      </c>
      <c r="L256" t="s">
        <v>155</v>
      </c>
      <c r="M256">
        <v>1373.7056284369301</v>
      </c>
      <c r="N256">
        <v>0</v>
      </c>
      <c r="O256" t="s">
        <v>43</v>
      </c>
      <c r="P256">
        <v>0</v>
      </c>
      <c r="R256" t="s">
        <v>32</v>
      </c>
      <c r="S256">
        <v>-1.2778967658400699</v>
      </c>
      <c r="T256">
        <v>40.610998050255802</v>
      </c>
    </row>
    <row r="257" spans="1:20">
      <c r="A257" t="s">
        <v>960</v>
      </c>
      <c r="B257" t="s">
        <v>961</v>
      </c>
      <c r="C257" t="s">
        <v>48</v>
      </c>
      <c r="D257">
        <v>48388.199471533597</v>
      </c>
      <c r="E257" s="9">
        <v>45843</v>
      </c>
      <c r="F257" t="s">
        <v>962</v>
      </c>
      <c r="G257" t="s">
        <v>181</v>
      </c>
      <c r="H257" t="s">
        <v>38</v>
      </c>
      <c r="I257" t="s">
        <v>39</v>
      </c>
      <c r="J257" t="s">
        <v>87</v>
      </c>
      <c r="K257" t="s">
        <v>963</v>
      </c>
      <c r="L257" t="s">
        <v>155</v>
      </c>
      <c r="M257">
        <v>333.68603455190998</v>
      </c>
      <c r="N257">
        <v>0</v>
      </c>
      <c r="O257" t="s">
        <v>62</v>
      </c>
      <c r="P257">
        <v>0</v>
      </c>
      <c r="Q257" t="s">
        <v>44</v>
      </c>
      <c r="R257" t="s">
        <v>133</v>
      </c>
      <c r="S257">
        <v>26.508990003009401</v>
      </c>
      <c r="T257">
        <v>47.160857074109202</v>
      </c>
    </row>
    <row r="258" spans="1:20">
      <c r="A258" t="s">
        <v>964</v>
      </c>
      <c r="B258" t="s">
        <v>965</v>
      </c>
      <c r="C258" t="s">
        <v>35</v>
      </c>
      <c r="D258">
        <v>36172.515221426598</v>
      </c>
      <c r="E258" s="9">
        <v>45843</v>
      </c>
      <c r="F258" t="s">
        <v>966</v>
      </c>
      <c r="G258" t="s">
        <v>181</v>
      </c>
      <c r="H258" t="s">
        <v>38</v>
      </c>
      <c r="I258" t="s">
        <v>39</v>
      </c>
      <c r="J258" t="s">
        <v>87</v>
      </c>
      <c r="K258" t="s">
        <v>967</v>
      </c>
      <c r="L258" t="s">
        <v>42</v>
      </c>
      <c r="M258">
        <v>4317.27690575416</v>
      </c>
      <c r="N258">
        <v>0</v>
      </c>
      <c r="O258" t="s">
        <v>43</v>
      </c>
      <c r="P258">
        <v>1</v>
      </c>
      <c r="Q258" t="s">
        <v>31</v>
      </c>
      <c r="R258" t="s">
        <v>102</v>
      </c>
      <c r="S258">
        <v>15.2208309325794</v>
      </c>
      <c r="T258">
        <v>57.983423828108997</v>
      </c>
    </row>
    <row r="259" spans="1:20">
      <c r="A259" t="s">
        <v>968</v>
      </c>
      <c r="B259" t="s">
        <v>674</v>
      </c>
      <c r="C259" t="s">
        <v>85</v>
      </c>
      <c r="D259">
        <v>34855.423164731197</v>
      </c>
      <c r="E259" s="9">
        <v>45844</v>
      </c>
      <c r="F259" t="s">
        <v>969</v>
      </c>
      <c r="G259" t="s">
        <v>59</v>
      </c>
      <c r="H259" t="s">
        <v>69</v>
      </c>
      <c r="I259" t="s">
        <v>99</v>
      </c>
      <c r="J259" t="s">
        <v>173</v>
      </c>
      <c r="K259" t="s">
        <v>970</v>
      </c>
      <c r="L259" t="s">
        <v>120</v>
      </c>
      <c r="M259">
        <v>75.441156548523495</v>
      </c>
      <c r="N259">
        <v>0</v>
      </c>
      <c r="O259" t="s">
        <v>62</v>
      </c>
      <c r="P259">
        <v>2</v>
      </c>
      <c r="Q259" t="s">
        <v>63</v>
      </c>
      <c r="R259" t="s">
        <v>82</v>
      </c>
      <c r="S259">
        <v>-25.371337554836298</v>
      </c>
      <c r="T259">
        <v>68.544052237129094</v>
      </c>
    </row>
    <row r="260" spans="1:20">
      <c r="A260" t="s">
        <v>971</v>
      </c>
      <c r="B260" t="s">
        <v>84</v>
      </c>
      <c r="C260" t="s">
        <v>48</v>
      </c>
      <c r="D260">
        <v>10331.761892475601</v>
      </c>
      <c r="E260" s="9">
        <v>45845</v>
      </c>
      <c r="F260" t="s">
        <v>972</v>
      </c>
      <c r="G260" t="s">
        <v>59</v>
      </c>
      <c r="H260" t="s">
        <v>106</v>
      </c>
      <c r="I260" t="s">
        <v>99</v>
      </c>
      <c r="J260" t="s">
        <v>60</v>
      </c>
      <c r="K260" t="s">
        <v>973</v>
      </c>
      <c r="L260" t="s">
        <v>42</v>
      </c>
      <c r="M260">
        <v>464.43844233447498</v>
      </c>
      <c r="N260">
        <v>352.01572629582802</v>
      </c>
      <c r="O260" t="s">
        <v>43</v>
      </c>
      <c r="P260">
        <v>3</v>
      </c>
      <c r="Q260" t="s">
        <v>44</v>
      </c>
      <c r="R260" t="s">
        <v>82</v>
      </c>
      <c r="S260">
        <v>-11.42395529487</v>
      </c>
      <c r="T260">
        <v>88.694211088286707</v>
      </c>
    </row>
    <row r="261" spans="1:20">
      <c r="A261" t="s">
        <v>974</v>
      </c>
      <c r="B261" t="s">
        <v>293</v>
      </c>
      <c r="C261" t="s">
        <v>48</v>
      </c>
      <c r="D261">
        <v>10979.353063954901</v>
      </c>
      <c r="E261" s="9">
        <v>45845</v>
      </c>
      <c r="F261" t="s">
        <v>975</v>
      </c>
      <c r="G261" t="s">
        <v>37</v>
      </c>
      <c r="H261" t="s">
        <v>69</v>
      </c>
      <c r="I261" t="s">
        <v>51</v>
      </c>
      <c r="J261" t="s">
        <v>60</v>
      </c>
      <c r="K261" t="s">
        <v>976</v>
      </c>
      <c r="L261" t="s">
        <v>81</v>
      </c>
      <c r="M261">
        <v>1533.3599850153801</v>
      </c>
      <c r="N261">
        <v>0</v>
      </c>
      <c r="O261" t="s">
        <v>101</v>
      </c>
      <c r="P261">
        <v>3</v>
      </c>
      <c r="Q261" t="s">
        <v>95</v>
      </c>
      <c r="R261" t="s">
        <v>45</v>
      </c>
      <c r="S261">
        <v>22.662777641816401</v>
      </c>
      <c r="T261">
        <v>32.307106840575102</v>
      </c>
    </row>
    <row r="262" spans="1:20">
      <c r="A262" t="s">
        <v>977</v>
      </c>
      <c r="B262" t="s">
        <v>289</v>
      </c>
      <c r="C262" t="s">
        <v>48</v>
      </c>
      <c r="D262">
        <v>23710.993432489398</v>
      </c>
      <c r="E262" s="9">
        <v>45845</v>
      </c>
      <c r="F262" t="s">
        <v>978</v>
      </c>
      <c r="G262" t="s">
        <v>68</v>
      </c>
      <c r="I262" t="s">
        <v>51</v>
      </c>
      <c r="J262" t="s">
        <v>27</v>
      </c>
      <c r="K262" t="s">
        <v>979</v>
      </c>
      <c r="L262" t="s">
        <v>120</v>
      </c>
      <c r="M262">
        <v>4084.6068983452401</v>
      </c>
      <c r="N262">
        <v>155.11764187235201</v>
      </c>
      <c r="O262" t="s">
        <v>62</v>
      </c>
      <c r="P262">
        <v>4</v>
      </c>
      <c r="Q262" t="s">
        <v>44</v>
      </c>
      <c r="R262" t="s">
        <v>32</v>
      </c>
      <c r="S262">
        <v>-3.1227781691288601</v>
      </c>
      <c r="T262">
        <v>84.040033148934</v>
      </c>
    </row>
    <row r="263" spans="1:20">
      <c r="A263" t="s">
        <v>980</v>
      </c>
      <c r="B263" t="s">
        <v>372</v>
      </c>
      <c r="C263" t="s">
        <v>35</v>
      </c>
      <c r="D263">
        <v>27035.0749895402</v>
      </c>
      <c r="E263" s="9">
        <v>45845</v>
      </c>
      <c r="F263" t="s">
        <v>981</v>
      </c>
      <c r="G263" t="s">
        <v>172</v>
      </c>
      <c r="H263" t="s">
        <v>69</v>
      </c>
      <c r="I263" t="s">
        <v>51</v>
      </c>
      <c r="J263" t="s">
        <v>27</v>
      </c>
      <c r="K263" t="s">
        <v>982</v>
      </c>
      <c r="L263" t="s">
        <v>81</v>
      </c>
      <c r="M263">
        <v>354.05438983617199</v>
      </c>
      <c r="N263">
        <v>0</v>
      </c>
      <c r="O263" t="s">
        <v>101</v>
      </c>
      <c r="P263">
        <v>4</v>
      </c>
      <c r="Q263" t="s">
        <v>55</v>
      </c>
      <c r="R263" t="s">
        <v>82</v>
      </c>
      <c r="S263">
        <v>-9.0568545323069198</v>
      </c>
      <c r="T263">
        <v>68.091721261725098</v>
      </c>
    </row>
    <row r="264" spans="1:20">
      <c r="A264" t="s">
        <v>983</v>
      </c>
      <c r="B264" t="s">
        <v>984</v>
      </c>
      <c r="C264" t="s">
        <v>85</v>
      </c>
      <c r="D264">
        <v>235.273880775051</v>
      </c>
      <c r="E264" s="9">
        <v>45848</v>
      </c>
      <c r="F264" t="s">
        <v>985</v>
      </c>
      <c r="G264" t="s">
        <v>37</v>
      </c>
      <c r="H264" t="s">
        <v>69</v>
      </c>
      <c r="I264" t="s">
        <v>51</v>
      </c>
      <c r="J264" t="s">
        <v>60</v>
      </c>
      <c r="K264" t="s">
        <v>986</v>
      </c>
      <c r="L264" t="s">
        <v>29</v>
      </c>
      <c r="M264">
        <v>3708.5025388651202</v>
      </c>
      <c r="N264">
        <v>0</v>
      </c>
      <c r="O264" t="s">
        <v>43</v>
      </c>
      <c r="P264">
        <v>2</v>
      </c>
      <c r="R264" t="s">
        <v>82</v>
      </c>
      <c r="S264">
        <v>-25.220764342774601</v>
      </c>
      <c r="T264">
        <v>52.783403756127399</v>
      </c>
    </row>
    <row r="265" spans="1:20">
      <c r="A265" t="s">
        <v>987</v>
      </c>
      <c r="B265" t="s">
        <v>678</v>
      </c>
      <c r="C265" t="s">
        <v>85</v>
      </c>
      <c r="D265">
        <v>26870.419439081299</v>
      </c>
      <c r="E265" s="9">
        <v>45849</v>
      </c>
      <c r="F265" t="s">
        <v>988</v>
      </c>
      <c r="G265" t="s">
        <v>59</v>
      </c>
      <c r="H265" t="s">
        <v>106</v>
      </c>
      <c r="I265" t="s">
        <v>99</v>
      </c>
      <c r="J265" t="s">
        <v>60</v>
      </c>
      <c r="K265" t="s">
        <v>989</v>
      </c>
      <c r="L265" t="s">
        <v>53</v>
      </c>
      <c r="M265">
        <v>2228.3518215791701</v>
      </c>
      <c r="N265">
        <v>0</v>
      </c>
      <c r="O265" t="s">
        <v>101</v>
      </c>
      <c r="P265">
        <v>2</v>
      </c>
      <c r="Q265" t="s">
        <v>44</v>
      </c>
      <c r="R265" t="s">
        <v>32</v>
      </c>
      <c r="S265">
        <v>14.569876587941399</v>
      </c>
      <c r="T265">
        <v>92.958309459756904</v>
      </c>
    </row>
    <row r="266" spans="1:20">
      <c r="A266" t="s">
        <v>990</v>
      </c>
      <c r="B266" t="s">
        <v>702</v>
      </c>
      <c r="C266" t="s">
        <v>48</v>
      </c>
      <c r="D266">
        <v>37644.915689937203</v>
      </c>
      <c r="E266" s="9">
        <v>45849</v>
      </c>
      <c r="F266" t="s">
        <v>991</v>
      </c>
      <c r="G266" t="s">
        <v>181</v>
      </c>
      <c r="H266" t="s">
        <v>38</v>
      </c>
      <c r="I266" t="s">
        <v>99</v>
      </c>
      <c r="J266" t="s">
        <v>87</v>
      </c>
      <c r="K266" t="s">
        <v>76</v>
      </c>
      <c r="L266" t="s">
        <v>155</v>
      </c>
      <c r="M266">
        <v>152.75225901362299</v>
      </c>
      <c r="N266">
        <v>0</v>
      </c>
      <c r="O266" t="s">
        <v>30</v>
      </c>
      <c r="P266">
        <v>4</v>
      </c>
      <c r="Q266" t="s">
        <v>63</v>
      </c>
      <c r="R266" t="s">
        <v>133</v>
      </c>
      <c r="S266">
        <v>6.4095938153149703</v>
      </c>
      <c r="T266">
        <v>62.437269792361</v>
      </c>
    </row>
    <row r="267" spans="1:20">
      <c r="A267" t="s">
        <v>992</v>
      </c>
      <c r="B267" t="s">
        <v>459</v>
      </c>
      <c r="C267" t="s">
        <v>35</v>
      </c>
      <c r="D267">
        <v>23059.946033280201</v>
      </c>
      <c r="E267" s="9">
        <v>45850</v>
      </c>
      <c r="F267" t="s">
        <v>993</v>
      </c>
      <c r="G267" t="s">
        <v>172</v>
      </c>
      <c r="H267" t="s">
        <v>69</v>
      </c>
      <c r="I267" t="s">
        <v>26</v>
      </c>
      <c r="J267" t="s">
        <v>40</v>
      </c>
      <c r="K267" t="s">
        <v>994</v>
      </c>
      <c r="L267" t="s">
        <v>155</v>
      </c>
      <c r="M267">
        <v>1194.83564516398</v>
      </c>
      <c r="N267">
        <v>0</v>
      </c>
      <c r="O267" t="s">
        <v>54</v>
      </c>
      <c r="P267">
        <v>1</v>
      </c>
      <c r="Q267" t="s">
        <v>95</v>
      </c>
      <c r="R267" t="s">
        <v>64</v>
      </c>
      <c r="S267">
        <v>-27.2158268390925</v>
      </c>
      <c r="T267">
        <v>21.289425465999301</v>
      </c>
    </row>
    <row r="268" spans="1:20">
      <c r="A268" t="s">
        <v>995</v>
      </c>
      <c r="B268" t="s">
        <v>161</v>
      </c>
      <c r="C268" t="s">
        <v>48</v>
      </c>
      <c r="D268">
        <v>7242.0864788686304</v>
      </c>
      <c r="E268" s="9">
        <v>45850</v>
      </c>
      <c r="F268" t="s">
        <v>996</v>
      </c>
      <c r="G268" t="s">
        <v>59</v>
      </c>
      <c r="H268" t="s">
        <v>69</v>
      </c>
      <c r="I268" t="s">
        <v>99</v>
      </c>
      <c r="J268" t="s">
        <v>87</v>
      </c>
      <c r="K268" t="s">
        <v>997</v>
      </c>
      <c r="L268" t="s">
        <v>29</v>
      </c>
      <c r="M268">
        <v>4330.0291552835897</v>
      </c>
      <c r="N268">
        <v>0</v>
      </c>
      <c r="O268" t="s">
        <v>43</v>
      </c>
      <c r="P268">
        <v>1</v>
      </c>
      <c r="Q268" t="s">
        <v>31</v>
      </c>
      <c r="R268" t="s">
        <v>64</v>
      </c>
      <c r="S268">
        <v>22.058496883213401</v>
      </c>
      <c r="T268">
        <v>63.103417571204901</v>
      </c>
    </row>
    <row r="269" spans="1:20">
      <c r="A269" t="s">
        <v>998</v>
      </c>
      <c r="B269" t="s">
        <v>685</v>
      </c>
      <c r="C269" t="s">
        <v>35</v>
      </c>
      <c r="D269">
        <v>47226.045306305903</v>
      </c>
      <c r="E269" s="9">
        <v>45851</v>
      </c>
      <c r="F269" t="s">
        <v>999</v>
      </c>
      <c r="G269" t="s">
        <v>68</v>
      </c>
      <c r="H269" t="s">
        <v>93</v>
      </c>
      <c r="I269" t="s">
        <v>99</v>
      </c>
      <c r="J269" t="s">
        <v>87</v>
      </c>
      <c r="K269" t="s">
        <v>1000</v>
      </c>
      <c r="L269" t="s">
        <v>42</v>
      </c>
      <c r="M269">
        <v>992.16802672048505</v>
      </c>
      <c r="N269">
        <v>323.671067186546</v>
      </c>
      <c r="O269" t="s">
        <v>43</v>
      </c>
      <c r="P269">
        <v>0</v>
      </c>
      <c r="Q269" t="s">
        <v>63</v>
      </c>
      <c r="R269" t="s">
        <v>102</v>
      </c>
      <c r="S269">
        <v>-18.2934707985474</v>
      </c>
      <c r="T269">
        <v>34.573025219299801</v>
      </c>
    </row>
    <row r="270" spans="1:20">
      <c r="A270" t="s">
        <v>1001</v>
      </c>
      <c r="B270" t="s">
        <v>748</v>
      </c>
      <c r="C270" t="s">
        <v>22</v>
      </c>
      <c r="D270">
        <v>19000.754034969301</v>
      </c>
      <c r="E270" s="9">
        <v>45852</v>
      </c>
      <c r="F270" t="s">
        <v>1002</v>
      </c>
      <c r="G270" t="s">
        <v>163</v>
      </c>
      <c r="H270" t="s">
        <v>93</v>
      </c>
      <c r="I270" t="s">
        <v>26</v>
      </c>
      <c r="J270" t="s">
        <v>87</v>
      </c>
      <c r="K270" t="s">
        <v>1003</v>
      </c>
      <c r="L270" t="s">
        <v>120</v>
      </c>
      <c r="M270">
        <v>653.34600853473898</v>
      </c>
      <c r="N270">
        <v>0</v>
      </c>
      <c r="O270" t="s">
        <v>30</v>
      </c>
      <c r="P270">
        <v>0</v>
      </c>
      <c r="Q270" t="s">
        <v>31</v>
      </c>
      <c r="R270" t="s">
        <v>82</v>
      </c>
      <c r="S270">
        <v>22.329669118170401</v>
      </c>
      <c r="T270">
        <v>43.717204956017703</v>
      </c>
    </row>
    <row r="271" spans="1:20">
      <c r="A271" t="s">
        <v>1004</v>
      </c>
      <c r="B271" t="s">
        <v>1005</v>
      </c>
      <c r="C271" t="s">
        <v>85</v>
      </c>
      <c r="D271">
        <v>39525.223392491898</v>
      </c>
      <c r="E271" s="9">
        <v>45852</v>
      </c>
      <c r="F271" t="s">
        <v>1006</v>
      </c>
      <c r="G271" t="s">
        <v>68</v>
      </c>
      <c r="H271" t="s">
        <v>74</v>
      </c>
      <c r="I271" t="s">
        <v>39</v>
      </c>
      <c r="J271" t="s">
        <v>173</v>
      </c>
      <c r="K271" t="s">
        <v>213</v>
      </c>
      <c r="L271" t="s">
        <v>42</v>
      </c>
      <c r="M271">
        <v>1088.9932664518401</v>
      </c>
      <c r="N271">
        <v>0</v>
      </c>
      <c r="O271" t="s">
        <v>62</v>
      </c>
      <c r="P271">
        <v>2</v>
      </c>
      <c r="Q271" t="s">
        <v>55</v>
      </c>
      <c r="R271" t="s">
        <v>102</v>
      </c>
      <c r="S271">
        <v>-25.440389621050102</v>
      </c>
      <c r="T271">
        <v>13.524119124650101</v>
      </c>
    </row>
    <row r="272" spans="1:20">
      <c r="A272" t="s">
        <v>1007</v>
      </c>
      <c r="B272" t="s">
        <v>883</v>
      </c>
      <c r="C272" t="s">
        <v>22</v>
      </c>
      <c r="D272">
        <v>43943.592857134601</v>
      </c>
      <c r="E272" s="9">
        <v>45853</v>
      </c>
      <c r="F272" t="s">
        <v>1008</v>
      </c>
      <c r="G272" t="s">
        <v>24</v>
      </c>
      <c r="H272" t="s">
        <v>25</v>
      </c>
      <c r="I272" t="s">
        <v>75</v>
      </c>
      <c r="J272" t="s">
        <v>173</v>
      </c>
      <c r="K272" t="s">
        <v>1009</v>
      </c>
      <c r="L272" t="s">
        <v>29</v>
      </c>
      <c r="M272">
        <v>4229.3585775542897</v>
      </c>
      <c r="N272">
        <v>0</v>
      </c>
      <c r="O272" t="s">
        <v>101</v>
      </c>
      <c r="P272">
        <v>3</v>
      </c>
      <c r="Q272" t="s">
        <v>31</v>
      </c>
      <c r="R272" t="s">
        <v>64</v>
      </c>
      <c r="S272">
        <v>16.241518245613999</v>
      </c>
      <c r="T272">
        <v>61.509128736998797</v>
      </c>
    </row>
    <row r="273" spans="1:20">
      <c r="A273" t="s">
        <v>1010</v>
      </c>
      <c r="B273" t="s">
        <v>763</v>
      </c>
      <c r="C273" t="s">
        <v>22</v>
      </c>
      <c r="D273">
        <v>25810.279137724101</v>
      </c>
      <c r="E273" s="9">
        <v>45855</v>
      </c>
      <c r="F273" t="s">
        <v>1011</v>
      </c>
      <c r="G273" t="s">
        <v>59</v>
      </c>
      <c r="H273" t="s">
        <v>106</v>
      </c>
      <c r="I273" t="s">
        <v>39</v>
      </c>
      <c r="J273" t="s">
        <v>87</v>
      </c>
      <c r="K273" t="s">
        <v>1012</v>
      </c>
      <c r="L273" t="s">
        <v>81</v>
      </c>
      <c r="M273">
        <v>3429.1303949687799</v>
      </c>
      <c r="N273">
        <v>0</v>
      </c>
      <c r="O273" t="s">
        <v>101</v>
      </c>
      <c r="P273">
        <v>4</v>
      </c>
      <c r="Q273" t="s">
        <v>95</v>
      </c>
      <c r="R273" t="s">
        <v>82</v>
      </c>
      <c r="S273">
        <v>-15.6444682349122</v>
      </c>
      <c r="T273">
        <v>89.046957398388997</v>
      </c>
    </row>
    <row r="274" spans="1:20">
      <c r="A274" t="s">
        <v>1013</v>
      </c>
      <c r="B274" t="s">
        <v>1014</v>
      </c>
      <c r="C274" t="s">
        <v>22</v>
      </c>
      <c r="D274">
        <v>17863.975065172101</v>
      </c>
      <c r="E274" s="9">
        <v>45856</v>
      </c>
      <c r="F274" t="s">
        <v>1015</v>
      </c>
      <c r="G274" t="s">
        <v>68</v>
      </c>
      <c r="H274" t="s">
        <v>38</v>
      </c>
      <c r="I274" t="s">
        <v>39</v>
      </c>
      <c r="J274" t="s">
        <v>40</v>
      </c>
      <c r="K274" t="s">
        <v>1016</v>
      </c>
      <c r="L274" t="s">
        <v>42</v>
      </c>
      <c r="M274">
        <v>3251.84428318559</v>
      </c>
      <c r="N274">
        <v>0</v>
      </c>
      <c r="O274" t="s">
        <v>54</v>
      </c>
      <c r="P274">
        <v>1</v>
      </c>
      <c r="Q274" t="s">
        <v>31</v>
      </c>
      <c r="R274" t="s">
        <v>133</v>
      </c>
      <c r="S274">
        <v>21.872480494925</v>
      </c>
      <c r="T274">
        <v>84.182536436526306</v>
      </c>
    </row>
    <row r="275" spans="1:20">
      <c r="A275" t="s">
        <v>1017</v>
      </c>
      <c r="B275" t="s">
        <v>549</v>
      </c>
      <c r="C275" t="s">
        <v>35</v>
      </c>
      <c r="D275">
        <v>24070.467085131098</v>
      </c>
      <c r="E275" s="9">
        <v>45856</v>
      </c>
      <c r="F275" t="s">
        <v>1018</v>
      </c>
      <c r="G275" t="s">
        <v>181</v>
      </c>
      <c r="H275" t="s">
        <v>38</v>
      </c>
      <c r="I275" t="s">
        <v>39</v>
      </c>
      <c r="J275" t="s">
        <v>27</v>
      </c>
      <c r="K275" t="s">
        <v>1019</v>
      </c>
      <c r="L275" t="s">
        <v>81</v>
      </c>
      <c r="M275">
        <v>143.779746703055</v>
      </c>
      <c r="N275">
        <v>0</v>
      </c>
      <c r="O275" t="s">
        <v>43</v>
      </c>
      <c r="P275">
        <v>4</v>
      </c>
      <c r="Q275" t="s">
        <v>31</v>
      </c>
      <c r="R275" t="s">
        <v>45</v>
      </c>
      <c r="S275">
        <v>-16.7129465176053</v>
      </c>
      <c r="T275">
        <v>29.803933209445098</v>
      </c>
    </row>
    <row r="276" spans="1:20">
      <c r="A276" t="s">
        <v>1020</v>
      </c>
      <c r="B276" t="s">
        <v>799</v>
      </c>
      <c r="C276" t="s">
        <v>85</v>
      </c>
      <c r="D276">
        <v>45646.198197668498</v>
      </c>
      <c r="E276" s="9">
        <v>45856</v>
      </c>
      <c r="F276" t="s">
        <v>1021</v>
      </c>
      <c r="G276" t="s">
        <v>37</v>
      </c>
      <c r="H276" t="s">
        <v>38</v>
      </c>
      <c r="I276" t="s">
        <v>51</v>
      </c>
      <c r="J276" t="s">
        <v>27</v>
      </c>
      <c r="K276" t="s">
        <v>1022</v>
      </c>
      <c r="L276" t="s">
        <v>120</v>
      </c>
      <c r="M276">
        <v>4840.3269829268902</v>
      </c>
      <c r="N276">
        <v>0</v>
      </c>
      <c r="O276" t="s">
        <v>54</v>
      </c>
      <c r="P276">
        <v>0</v>
      </c>
      <c r="Q276" t="s">
        <v>44</v>
      </c>
      <c r="R276" t="s">
        <v>82</v>
      </c>
      <c r="S276">
        <v>-28.547637334648201</v>
      </c>
      <c r="T276">
        <v>94.496706364007593</v>
      </c>
    </row>
    <row r="277" spans="1:20">
      <c r="A277" t="s">
        <v>1023</v>
      </c>
      <c r="B277" t="s">
        <v>566</v>
      </c>
      <c r="C277" t="s">
        <v>48</v>
      </c>
      <c r="D277">
        <v>4607.8143328226297</v>
      </c>
      <c r="E277" s="9">
        <v>45859</v>
      </c>
      <c r="F277" t="s">
        <v>1024</v>
      </c>
      <c r="G277" t="s">
        <v>141</v>
      </c>
      <c r="H277" t="s">
        <v>74</v>
      </c>
      <c r="I277" t="s">
        <v>51</v>
      </c>
      <c r="J277" t="s">
        <v>60</v>
      </c>
      <c r="K277" t="s">
        <v>1025</v>
      </c>
      <c r="L277" t="s">
        <v>155</v>
      </c>
      <c r="M277">
        <v>2799.7115368396699</v>
      </c>
      <c r="N277">
        <v>0</v>
      </c>
      <c r="O277" t="s">
        <v>43</v>
      </c>
      <c r="P277">
        <v>3</v>
      </c>
      <c r="Q277" t="s">
        <v>95</v>
      </c>
      <c r="R277" t="s">
        <v>82</v>
      </c>
      <c r="T277">
        <v>80.326340062712802</v>
      </c>
    </row>
    <row r="278" spans="1:20">
      <c r="A278" t="s">
        <v>1026</v>
      </c>
      <c r="B278" t="s">
        <v>47</v>
      </c>
      <c r="C278" t="s">
        <v>22</v>
      </c>
      <c r="D278">
        <v>29792.944087051001</v>
      </c>
      <c r="E278" s="9">
        <v>45859</v>
      </c>
      <c r="F278" t="s">
        <v>1027</v>
      </c>
      <c r="G278" t="s">
        <v>68</v>
      </c>
      <c r="H278" t="s">
        <v>25</v>
      </c>
      <c r="I278" t="s">
        <v>99</v>
      </c>
      <c r="J278" t="s">
        <v>87</v>
      </c>
      <c r="K278" t="s">
        <v>1028</v>
      </c>
      <c r="L278" t="s">
        <v>53</v>
      </c>
      <c r="M278">
        <v>319.83404081724001</v>
      </c>
      <c r="N278">
        <v>418.1892887052</v>
      </c>
      <c r="O278" t="s">
        <v>54</v>
      </c>
      <c r="P278">
        <v>2</v>
      </c>
      <c r="Q278" t="s">
        <v>44</v>
      </c>
      <c r="R278" t="s">
        <v>32</v>
      </c>
      <c r="S278">
        <v>-27.889522108104199</v>
      </c>
      <c r="T278">
        <v>88.884251173853201</v>
      </c>
    </row>
    <row r="279" spans="1:20">
      <c r="A279" t="s">
        <v>1029</v>
      </c>
      <c r="B279" t="s">
        <v>1030</v>
      </c>
      <c r="C279" t="s">
        <v>35</v>
      </c>
      <c r="D279">
        <v>30237.497816418399</v>
      </c>
      <c r="E279" s="9">
        <v>45861</v>
      </c>
      <c r="F279" t="s">
        <v>1031</v>
      </c>
      <c r="G279" t="s">
        <v>92</v>
      </c>
      <c r="H279" t="s">
        <v>93</v>
      </c>
      <c r="I279" t="s">
        <v>75</v>
      </c>
      <c r="J279" t="s">
        <v>27</v>
      </c>
      <c r="K279" t="s">
        <v>115</v>
      </c>
      <c r="L279" t="s">
        <v>81</v>
      </c>
      <c r="M279">
        <v>622.01396456912698</v>
      </c>
      <c r="N279">
        <v>0</v>
      </c>
      <c r="O279" t="s">
        <v>43</v>
      </c>
      <c r="P279">
        <v>3</v>
      </c>
      <c r="R279" t="s">
        <v>82</v>
      </c>
      <c r="S279">
        <v>-24.128579837013</v>
      </c>
      <c r="T279">
        <v>39.238210093272102</v>
      </c>
    </row>
    <row r="280" spans="1:20">
      <c r="A280" t="s">
        <v>1032</v>
      </c>
      <c r="B280" t="s">
        <v>1033</v>
      </c>
      <c r="C280" t="s">
        <v>85</v>
      </c>
      <c r="D280">
        <v>41549.659877605998</v>
      </c>
      <c r="E280" s="9">
        <v>45861</v>
      </c>
      <c r="F280" t="s">
        <v>1034</v>
      </c>
      <c r="G280" t="s">
        <v>141</v>
      </c>
      <c r="H280" t="s">
        <v>38</v>
      </c>
      <c r="I280" t="s">
        <v>39</v>
      </c>
      <c r="J280" t="s">
        <v>40</v>
      </c>
      <c r="K280" t="s">
        <v>1035</v>
      </c>
      <c r="L280" t="s">
        <v>42</v>
      </c>
      <c r="M280">
        <v>359.40936047653298</v>
      </c>
      <c r="N280">
        <v>0</v>
      </c>
      <c r="O280" t="s">
        <v>30</v>
      </c>
      <c r="P280">
        <v>0</v>
      </c>
      <c r="Q280" t="s">
        <v>44</v>
      </c>
      <c r="R280" t="s">
        <v>133</v>
      </c>
      <c r="S280">
        <v>19.980372912065199</v>
      </c>
      <c r="T280">
        <v>60.413062885653503</v>
      </c>
    </row>
    <row r="281" spans="1:20">
      <c r="A281" t="s">
        <v>1036</v>
      </c>
      <c r="B281" t="s">
        <v>1037</v>
      </c>
      <c r="C281" t="s">
        <v>48</v>
      </c>
      <c r="D281">
        <v>17534.411252561698</v>
      </c>
      <c r="E281" s="9">
        <v>45862</v>
      </c>
      <c r="F281" t="s">
        <v>1038</v>
      </c>
      <c r="G281" t="s">
        <v>59</v>
      </c>
      <c r="H281" t="s">
        <v>106</v>
      </c>
      <c r="I281" t="s">
        <v>26</v>
      </c>
      <c r="J281" t="s">
        <v>60</v>
      </c>
      <c r="K281" t="s">
        <v>1039</v>
      </c>
      <c r="L281" t="s">
        <v>120</v>
      </c>
      <c r="M281">
        <v>1050.63952616509</v>
      </c>
      <c r="N281">
        <v>56.251565263315896</v>
      </c>
      <c r="O281" t="s">
        <v>101</v>
      </c>
      <c r="P281">
        <v>3</v>
      </c>
      <c r="Q281" t="s">
        <v>31</v>
      </c>
      <c r="R281" t="s">
        <v>133</v>
      </c>
      <c r="S281">
        <v>-24.6287881921895</v>
      </c>
      <c r="T281">
        <v>80.567537904270395</v>
      </c>
    </row>
    <row r="282" spans="1:20">
      <c r="A282" t="s">
        <v>1040</v>
      </c>
      <c r="B282" t="s">
        <v>21</v>
      </c>
      <c r="C282" t="s">
        <v>48</v>
      </c>
      <c r="D282">
        <v>10712.7711386272</v>
      </c>
      <c r="E282" s="9">
        <v>45863</v>
      </c>
      <c r="F282" t="s">
        <v>1041</v>
      </c>
      <c r="G282" t="s">
        <v>163</v>
      </c>
      <c r="H282" t="s">
        <v>25</v>
      </c>
      <c r="I282" t="s">
        <v>26</v>
      </c>
      <c r="J282" t="s">
        <v>40</v>
      </c>
      <c r="K282" t="s">
        <v>1042</v>
      </c>
      <c r="L282" t="s">
        <v>120</v>
      </c>
      <c r="M282">
        <v>2382.9759591419001</v>
      </c>
      <c r="N282">
        <v>0</v>
      </c>
      <c r="O282" t="s">
        <v>54</v>
      </c>
      <c r="P282">
        <v>3</v>
      </c>
      <c r="Q282" t="s">
        <v>55</v>
      </c>
      <c r="R282" t="s">
        <v>102</v>
      </c>
      <c r="S282">
        <v>-22.285225289299799</v>
      </c>
      <c r="T282">
        <v>98.268004872243395</v>
      </c>
    </row>
    <row r="283" spans="1:20">
      <c r="A283" t="s">
        <v>1043</v>
      </c>
      <c r="B283" t="s">
        <v>854</v>
      </c>
      <c r="C283" t="s">
        <v>22</v>
      </c>
      <c r="D283">
        <v>37550.046045789197</v>
      </c>
      <c r="E283" s="9">
        <v>45863</v>
      </c>
      <c r="F283" t="s">
        <v>1044</v>
      </c>
      <c r="G283" t="s">
        <v>92</v>
      </c>
      <c r="H283" t="s">
        <v>74</v>
      </c>
      <c r="I283" t="s">
        <v>51</v>
      </c>
      <c r="J283" t="s">
        <v>27</v>
      </c>
      <c r="K283" t="s">
        <v>1045</v>
      </c>
      <c r="L283" t="s">
        <v>53</v>
      </c>
      <c r="M283">
        <v>2696.57156922384</v>
      </c>
      <c r="N283">
        <v>0</v>
      </c>
      <c r="O283" t="s">
        <v>54</v>
      </c>
      <c r="P283">
        <v>1</v>
      </c>
      <c r="Q283" t="s">
        <v>31</v>
      </c>
      <c r="R283" t="s">
        <v>45</v>
      </c>
      <c r="S283">
        <v>1.6497566734956901</v>
      </c>
      <c r="T283">
        <v>28.6815747207031</v>
      </c>
    </row>
    <row r="284" spans="1:20">
      <c r="A284" t="s">
        <v>1046</v>
      </c>
      <c r="B284" t="s">
        <v>1047</v>
      </c>
      <c r="C284" t="s">
        <v>22</v>
      </c>
      <c r="D284">
        <v>21915.950478226401</v>
      </c>
      <c r="E284" s="9">
        <v>45864</v>
      </c>
      <c r="F284" t="s">
        <v>1048</v>
      </c>
      <c r="G284" t="s">
        <v>163</v>
      </c>
      <c r="H284" t="s">
        <v>25</v>
      </c>
      <c r="I284" t="s">
        <v>75</v>
      </c>
      <c r="J284" t="s">
        <v>40</v>
      </c>
      <c r="K284" t="s">
        <v>1049</v>
      </c>
      <c r="L284" t="s">
        <v>53</v>
      </c>
      <c r="M284">
        <v>467.108612471463</v>
      </c>
      <c r="N284">
        <v>0</v>
      </c>
      <c r="O284" t="s">
        <v>101</v>
      </c>
      <c r="P284">
        <v>1</v>
      </c>
      <c r="Q284" t="s">
        <v>55</v>
      </c>
      <c r="R284" t="s">
        <v>64</v>
      </c>
      <c r="S284">
        <v>13.2695560928326</v>
      </c>
      <c r="T284">
        <v>24.985379607833</v>
      </c>
    </row>
    <row r="285" spans="1:20">
      <c r="A285" t="s">
        <v>1050</v>
      </c>
      <c r="B285" t="s">
        <v>656</v>
      </c>
      <c r="C285" t="s">
        <v>48</v>
      </c>
      <c r="D285">
        <v>10358.432437944301</v>
      </c>
      <c r="E285" s="9">
        <v>45865</v>
      </c>
      <c r="F285" t="s">
        <v>1051</v>
      </c>
      <c r="G285" t="s">
        <v>59</v>
      </c>
      <c r="H285" t="s">
        <v>25</v>
      </c>
      <c r="I285" t="s">
        <v>39</v>
      </c>
      <c r="J285" t="s">
        <v>60</v>
      </c>
      <c r="K285" t="s">
        <v>1052</v>
      </c>
      <c r="L285" t="s">
        <v>53</v>
      </c>
      <c r="M285">
        <v>3497.9789406130299</v>
      </c>
      <c r="N285">
        <v>0</v>
      </c>
      <c r="O285" t="s">
        <v>62</v>
      </c>
      <c r="P285">
        <v>3</v>
      </c>
      <c r="Q285" t="s">
        <v>44</v>
      </c>
      <c r="R285" t="s">
        <v>64</v>
      </c>
      <c r="S285">
        <v>-20.183494749377299</v>
      </c>
      <c r="T285">
        <v>1.5447427733077901</v>
      </c>
    </row>
    <row r="286" spans="1:20">
      <c r="A286" t="s">
        <v>1053</v>
      </c>
      <c r="B286" t="s">
        <v>1054</v>
      </c>
      <c r="C286" t="s">
        <v>48</v>
      </c>
      <c r="D286">
        <v>9187.1462271969995</v>
      </c>
      <c r="E286" s="9">
        <v>45865</v>
      </c>
      <c r="F286" t="s">
        <v>1055</v>
      </c>
      <c r="G286" t="s">
        <v>163</v>
      </c>
      <c r="H286" t="s">
        <v>38</v>
      </c>
      <c r="I286" t="s">
        <v>51</v>
      </c>
      <c r="J286" t="s">
        <v>87</v>
      </c>
      <c r="K286" t="s">
        <v>1056</v>
      </c>
      <c r="L286" t="s">
        <v>81</v>
      </c>
      <c r="M286">
        <v>1933.38533319053</v>
      </c>
      <c r="N286">
        <v>234.51246985894201</v>
      </c>
      <c r="O286" t="s">
        <v>30</v>
      </c>
      <c r="P286">
        <v>3</v>
      </c>
      <c r="Q286" t="s">
        <v>31</v>
      </c>
      <c r="R286" t="s">
        <v>82</v>
      </c>
      <c r="S286">
        <v>-24.294381137356201</v>
      </c>
      <c r="T286">
        <v>80.472598374143104</v>
      </c>
    </row>
    <row r="287" spans="1:20">
      <c r="A287" t="s">
        <v>1057</v>
      </c>
      <c r="B287" t="s">
        <v>629</v>
      </c>
      <c r="C287" t="s">
        <v>48</v>
      </c>
      <c r="D287">
        <v>23464.768239224799</v>
      </c>
      <c r="E287" s="9">
        <v>45866</v>
      </c>
      <c r="F287" t="s">
        <v>1058</v>
      </c>
      <c r="G287" t="s">
        <v>59</v>
      </c>
      <c r="H287" t="s">
        <v>93</v>
      </c>
      <c r="I287" t="s">
        <v>26</v>
      </c>
      <c r="J287" t="s">
        <v>173</v>
      </c>
      <c r="K287" t="s">
        <v>1059</v>
      </c>
      <c r="L287" t="s">
        <v>81</v>
      </c>
      <c r="M287">
        <v>2750.17718544944</v>
      </c>
      <c r="N287">
        <v>0</v>
      </c>
      <c r="O287" t="s">
        <v>62</v>
      </c>
      <c r="P287">
        <v>4</v>
      </c>
      <c r="Q287" t="s">
        <v>44</v>
      </c>
      <c r="R287" t="s">
        <v>102</v>
      </c>
      <c r="S287">
        <v>-3.9733035355707802</v>
      </c>
      <c r="T287">
        <v>66.918365219914307</v>
      </c>
    </row>
    <row r="288" spans="1:20">
      <c r="A288" t="s">
        <v>1060</v>
      </c>
      <c r="B288" t="s">
        <v>949</v>
      </c>
      <c r="C288" t="s">
        <v>22</v>
      </c>
      <c r="D288">
        <v>24749.676207830002</v>
      </c>
      <c r="E288" s="9">
        <v>45867</v>
      </c>
      <c r="F288" t="s">
        <v>1061</v>
      </c>
      <c r="G288" t="s">
        <v>92</v>
      </c>
      <c r="H288" t="s">
        <v>25</v>
      </c>
      <c r="I288" t="s">
        <v>51</v>
      </c>
      <c r="J288" t="s">
        <v>60</v>
      </c>
      <c r="K288" t="s">
        <v>1062</v>
      </c>
      <c r="L288" t="s">
        <v>53</v>
      </c>
      <c r="M288">
        <v>2408.8060306195698</v>
      </c>
      <c r="N288">
        <v>0</v>
      </c>
      <c r="O288" t="s">
        <v>62</v>
      </c>
      <c r="P288">
        <v>4</v>
      </c>
      <c r="Q288" t="s">
        <v>44</v>
      </c>
      <c r="R288" t="s">
        <v>32</v>
      </c>
      <c r="S288">
        <v>-5.8397275047601296</v>
      </c>
      <c r="T288">
        <v>71.526708250924401</v>
      </c>
    </row>
    <row r="289" spans="1:20">
      <c r="A289" t="s">
        <v>1063</v>
      </c>
      <c r="B289" t="s">
        <v>1064</v>
      </c>
      <c r="C289" t="s">
        <v>85</v>
      </c>
      <c r="D289">
        <v>15458.0842645754</v>
      </c>
      <c r="E289" s="9">
        <v>45867</v>
      </c>
      <c r="F289" t="s">
        <v>1065</v>
      </c>
      <c r="G289" t="s">
        <v>24</v>
      </c>
      <c r="H289" t="s">
        <v>106</v>
      </c>
      <c r="I289" t="s">
        <v>39</v>
      </c>
      <c r="J289" t="s">
        <v>87</v>
      </c>
      <c r="K289" t="s">
        <v>1066</v>
      </c>
      <c r="L289" t="s">
        <v>155</v>
      </c>
      <c r="M289">
        <v>3644.25073375595</v>
      </c>
      <c r="N289">
        <v>0</v>
      </c>
      <c r="O289" t="s">
        <v>62</v>
      </c>
      <c r="P289">
        <v>4</v>
      </c>
      <c r="Q289" t="s">
        <v>63</v>
      </c>
      <c r="R289" t="s">
        <v>64</v>
      </c>
      <c r="S289">
        <v>9.8460402688734607</v>
      </c>
      <c r="T289">
        <v>77.156972605582595</v>
      </c>
    </row>
    <row r="290" spans="1:20">
      <c r="A290" t="s">
        <v>1067</v>
      </c>
      <c r="B290" t="s">
        <v>1068</v>
      </c>
      <c r="C290" t="s">
        <v>85</v>
      </c>
      <c r="D290">
        <v>28707.389471152099</v>
      </c>
      <c r="E290" s="9">
        <v>45868</v>
      </c>
      <c r="F290" t="s">
        <v>1069</v>
      </c>
      <c r="G290" t="s">
        <v>141</v>
      </c>
      <c r="H290" t="s">
        <v>25</v>
      </c>
      <c r="I290" t="s">
        <v>75</v>
      </c>
      <c r="J290" t="s">
        <v>87</v>
      </c>
      <c r="K290" t="s">
        <v>1070</v>
      </c>
      <c r="L290" t="s">
        <v>155</v>
      </c>
      <c r="M290">
        <v>2602.5989278315101</v>
      </c>
      <c r="N290">
        <v>357.66115526456798</v>
      </c>
      <c r="O290" t="s">
        <v>43</v>
      </c>
      <c r="P290">
        <v>0</v>
      </c>
      <c r="R290" t="s">
        <v>102</v>
      </c>
      <c r="S290">
        <v>3.6886766242006099</v>
      </c>
      <c r="T290">
        <v>67.400735646271102</v>
      </c>
    </row>
    <row r="291" spans="1:20">
      <c r="A291" t="s">
        <v>1071</v>
      </c>
      <c r="B291" t="s">
        <v>782</v>
      </c>
      <c r="C291" t="s">
        <v>22</v>
      </c>
      <c r="D291">
        <v>19892.803715297501</v>
      </c>
      <c r="E291" s="9">
        <v>45870</v>
      </c>
      <c r="F291" t="s">
        <v>1072</v>
      </c>
      <c r="G291" t="s">
        <v>163</v>
      </c>
      <c r="H291" t="s">
        <v>74</v>
      </c>
      <c r="I291" t="s">
        <v>51</v>
      </c>
      <c r="J291" t="s">
        <v>27</v>
      </c>
      <c r="K291" t="s">
        <v>1073</v>
      </c>
      <c r="L291" t="s">
        <v>29</v>
      </c>
      <c r="M291">
        <v>3712.3457416719998</v>
      </c>
      <c r="N291">
        <v>298.84116776172903</v>
      </c>
      <c r="O291" t="s">
        <v>101</v>
      </c>
      <c r="P291">
        <v>0</v>
      </c>
      <c r="Q291" t="s">
        <v>55</v>
      </c>
      <c r="R291" t="s">
        <v>102</v>
      </c>
      <c r="S291">
        <v>13.403681331295701</v>
      </c>
      <c r="T291">
        <v>21.356730033619201</v>
      </c>
    </row>
    <row r="292" spans="1:20">
      <c r="A292" t="s">
        <v>1074</v>
      </c>
      <c r="B292" t="s">
        <v>97</v>
      </c>
      <c r="C292" t="s">
        <v>22</v>
      </c>
      <c r="D292">
        <v>15049.8359971472</v>
      </c>
      <c r="E292" s="9">
        <v>45871</v>
      </c>
      <c r="F292" t="s">
        <v>1075</v>
      </c>
      <c r="G292" t="s">
        <v>24</v>
      </c>
      <c r="H292" t="s">
        <v>93</v>
      </c>
      <c r="I292" t="s">
        <v>39</v>
      </c>
      <c r="J292" t="s">
        <v>173</v>
      </c>
      <c r="K292" t="s">
        <v>1076</v>
      </c>
      <c r="L292" t="s">
        <v>42</v>
      </c>
      <c r="M292">
        <v>2900.14002073334</v>
      </c>
      <c r="N292">
        <v>0</v>
      </c>
      <c r="O292" t="s">
        <v>30</v>
      </c>
      <c r="P292">
        <v>1</v>
      </c>
      <c r="Q292" t="s">
        <v>44</v>
      </c>
      <c r="R292" t="s">
        <v>32</v>
      </c>
      <c r="S292">
        <v>5.1046689823929698</v>
      </c>
      <c r="T292">
        <v>4.4661216378898798</v>
      </c>
    </row>
    <row r="293" spans="1:20">
      <c r="A293" t="s">
        <v>1077</v>
      </c>
      <c r="B293" t="s">
        <v>713</v>
      </c>
      <c r="C293" t="s">
        <v>35</v>
      </c>
      <c r="D293">
        <v>37686.986415297797</v>
      </c>
      <c r="E293" s="9">
        <v>45871</v>
      </c>
      <c r="F293" t="s">
        <v>1078</v>
      </c>
      <c r="G293" t="s">
        <v>92</v>
      </c>
      <c r="H293" t="s">
        <v>106</v>
      </c>
      <c r="I293" t="s">
        <v>75</v>
      </c>
      <c r="J293" t="s">
        <v>87</v>
      </c>
      <c r="K293" t="s">
        <v>1079</v>
      </c>
      <c r="L293" t="s">
        <v>42</v>
      </c>
      <c r="M293">
        <v>1447.7211992611501</v>
      </c>
      <c r="N293">
        <v>0</v>
      </c>
      <c r="O293" t="s">
        <v>43</v>
      </c>
      <c r="P293">
        <v>1</v>
      </c>
      <c r="Q293" t="s">
        <v>44</v>
      </c>
      <c r="R293" t="s">
        <v>64</v>
      </c>
      <c r="S293">
        <v>1.6289028975158799</v>
      </c>
      <c r="T293">
        <v>63.3464119235773</v>
      </c>
    </row>
    <row r="294" spans="1:20">
      <c r="A294" t="s">
        <v>1080</v>
      </c>
      <c r="B294" t="s">
        <v>678</v>
      </c>
      <c r="C294" t="s">
        <v>35</v>
      </c>
      <c r="D294">
        <v>34616.5484187287</v>
      </c>
      <c r="E294" s="9">
        <v>45872</v>
      </c>
      <c r="F294" t="s">
        <v>1081</v>
      </c>
      <c r="G294" t="s">
        <v>59</v>
      </c>
      <c r="H294" t="s">
        <v>93</v>
      </c>
      <c r="I294" t="s">
        <v>99</v>
      </c>
      <c r="J294" t="s">
        <v>87</v>
      </c>
      <c r="K294" t="s">
        <v>1082</v>
      </c>
      <c r="L294" t="s">
        <v>29</v>
      </c>
      <c r="M294">
        <v>2110.5007644051402</v>
      </c>
      <c r="N294">
        <v>0</v>
      </c>
      <c r="O294" t="s">
        <v>30</v>
      </c>
      <c r="P294">
        <v>0</v>
      </c>
      <c r="R294" t="s">
        <v>32</v>
      </c>
      <c r="S294">
        <v>5.4076443555925202</v>
      </c>
      <c r="T294">
        <v>38.293738229161697</v>
      </c>
    </row>
    <row r="295" spans="1:20">
      <c r="A295" t="s">
        <v>1083</v>
      </c>
      <c r="B295" t="s">
        <v>1037</v>
      </c>
      <c r="C295" t="s">
        <v>22</v>
      </c>
      <c r="D295">
        <v>3210.8339893109501</v>
      </c>
      <c r="E295" s="9">
        <v>45872</v>
      </c>
      <c r="F295" t="s">
        <v>1084</v>
      </c>
      <c r="G295" t="s">
        <v>50</v>
      </c>
      <c r="H295" t="s">
        <v>106</v>
      </c>
      <c r="I295" t="s">
        <v>75</v>
      </c>
      <c r="J295" t="s">
        <v>27</v>
      </c>
      <c r="K295" t="s">
        <v>1085</v>
      </c>
      <c r="L295" t="s">
        <v>81</v>
      </c>
      <c r="M295">
        <v>3542.8952120264598</v>
      </c>
      <c r="N295">
        <v>0</v>
      </c>
      <c r="O295" t="s">
        <v>101</v>
      </c>
      <c r="P295">
        <v>4</v>
      </c>
      <c r="Q295" t="s">
        <v>63</v>
      </c>
      <c r="R295" t="s">
        <v>64</v>
      </c>
      <c r="S295">
        <v>-0.87014158304019096</v>
      </c>
      <c r="T295">
        <v>73.962168465299499</v>
      </c>
    </row>
    <row r="296" spans="1:20">
      <c r="A296" t="s">
        <v>1086</v>
      </c>
      <c r="B296" t="s">
        <v>1054</v>
      </c>
      <c r="C296" t="s">
        <v>48</v>
      </c>
      <c r="D296">
        <v>36838.734466554597</v>
      </c>
      <c r="E296" s="9">
        <v>45873</v>
      </c>
      <c r="F296" t="s">
        <v>1087</v>
      </c>
      <c r="G296" t="s">
        <v>37</v>
      </c>
      <c r="H296" t="s">
        <v>93</v>
      </c>
      <c r="I296" t="s">
        <v>39</v>
      </c>
      <c r="J296" t="s">
        <v>40</v>
      </c>
      <c r="K296" t="s">
        <v>1088</v>
      </c>
      <c r="L296" t="s">
        <v>42</v>
      </c>
      <c r="M296">
        <v>1197.6143939879</v>
      </c>
      <c r="N296">
        <v>0</v>
      </c>
      <c r="O296" t="s">
        <v>101</v>
      </c>
      <c r="P296">
        <v>4</v>
      </c>
      <c r="Q296" t="s">
        <v>63</v>
      </c>
      <c r="R296" t="s">
        <v>64</v>
      </c>
      <c r="S296">
        <v>-19.852508241349302</v>
      </c>
      <c r="T296">
        <v>92.141933487632798</v>
      </c>
    </row>
    <row r="297" spans="1:20">
      <c r="A297" t="s">
        <v>1089</v>
      </c>
      <c r="B297" t="s">
        <v>1090</v>
      </c>
      <c r="C297" t="s">
        <v>85</v>
      </c>
      <c r="D297">
        <v>36896.519784081604</v>
      </c>
      <c r="E297" s="9">
        <v>45873</v>
      </c>
      <c r="F297" t="s">
        <v>1091</v>
      </c>
      <c r="G297" t="s">
        <v>172</v>
      </c>
      <c r="H297" t="s">
        <v>93</v>
      </c>
      <c r="I297" t="s">
        <v>51</v>
      </c>
      <c r="J297" t="s">
        <v>40</v>
      </c>
      <c r="K297" t="s">
        <v>1092</v>
      </c>
      <c r="L297" t="s">
        <v>81</v>
      </c>
      <c r="M297">
        <v>1203.71041885963</v>
      </c>
      <c r="N297">
        <v>0</v>
      </c>
      <c r="O297" t="s">
        <v>62</v>
      </c>
      <c r="P297">
        <v>1</v>
      </c>
      <c r="Q297" t="s">
        <v>31</v>
      </c>
      <c r="R297" t="s">
        <v>64</v>
      </c>
      <c r="S297">
        <v>23.196929339361301</v>
      </c>
      <c r="T297">
        <v>12.684392689259701</v>
      </c>
    </row>
    <row r="298" spans="1:20">
      <c r="A298" t="s">
        <v>1093</v>
      </c>
      <c r="B298" t="s">
        <v>223</v>
      </c>
      <c r="C298" t="s">
        <v>35</v>
      </c>
      <c r="D298">
        <v>38291.278425205397</v>
      </c>
      <c r="E298" s="9">
        <v>45874</v>
      </c>
      <c r="F298" t="s">
        <v>1094</v>
      </c>
      <c r="G298" t="s">
        <v>24</v>
      </c>
      <c r="H298" t="s">
        <v>25</v>
      </c>
      <c r="I298" t="s">
        <v>99</v>
      </c>
      <c r="J298" t="s">
        <v>60</v>
      </c>
      <c r="K298" t="s">
        <v>1095</v>
      </c>
      <c r="L298" t="s">
        <v>53</v>
      </c>
      <c r="M298">
        <v>2928.7428119680399</v>
      </c>
      <c r="N298">
        <v>0</v>
      </c>
      <c r="O298" t="s">
        <v>62</v>
      </c>
      <c r="P298">
        <v>4</v>
      </c>
      <c r="Q298" t="s">
        <v>55</v>
      </c>
      <c r="R298" t="s">
        <v>64</v>
      </c>
      <c r="S298">
        <v>-18.719056968222699</v>
      </c>
      <c r="T298">
        <v>97.195084525980604</v>
      </c>
    </row>
    <row r="299" spans="1:20">
      <c r="A299" t="s">
        <v>1096</v>
      </c>
      <c r="B299" t="s">
        <v>1097</v>
      </c>
      <c r="C299" t="s">
        <v>22</v>
      </c>
      <c r="D299">
        <v>29904.176304545999</v>
      </c>
      <c r="E299" s="9">
        <v>45875</v>
      </c>
      <c r="F299" t="s">
        <v>1098</v>
      </c>
      <c r="G299" t="s">
        <v>68</v>
      </c>
      <c r="H299" t="s">
        <v>93</v>
      </c>
      <c r="I299" t="s">
        <v>39</v>
      </c>
      <c r="J299" t="s">
        <v>40</v>
      </c>
      <c r="K299" t="s">
        <v>1099</v>
      </c>
      <c r="L299" t="s">
        <v>81</v>
      </c>
      <c r="M299">
        <v>1573.9769201081201</v>
      </c>
      <c r="N299">
        <v>0</v>
      </c>
      <c r="O299" t="s">
        <v>54</v>
      </c>
      <c r="P299">
        <v>0</v>
      </c>
      <c r="Q299" t="s">
        <v>95</v>
      </c>
      <c r="R299" t="s">
        <v>133</v>
      </c>
      <c r="S299">
        <v>27.713294323542499</v>
      </c>
      <c r="T299">
        <v>93.426979146387694</v>
      </c>
    </row>
    <row r="300" spans="1:20">
      <c r="A300" t="s">
        <v>1100</v>
      </c>
      <c r="B300" t="s">
        <v>199</v>
      </c>
      <c r="C300" t="s">
        <v>48</v>
      </c>
      <c r="D300">
        <v>49884.861534599797</v>
      </c>
      <c r="E300" s="9">
        <v>45876</v>
      </c>
      <c r="F300" t="s">
        <v>1101</v>
      </c>
      <c r="G300" t="s">
        <v>163</v>
      </c>
      <c r="H300" t="s">
        <v>74</v>
      </c>
      <c r="I300" t="s">
        <v>26</v>
      </c>
      <c r="J300" t="s">
        <v>27</v>
      </c>
      <c r="K300" t="s">
        <v>1102</v>
      </c>
      <c r="L300" t="s">
        <v>42</v>
      </c>
      <c r="M300">
        <v>1665.09665026628</v>
      </c>
      <c r="N300">
        <v>319.48151098664198</v>
      </c>
      <c r="O300" t="s">
        <v>62</v>
      </c>
      <c r="P300">
        <v>3</v>
      </c>
      <c r="Q300" t="s">
        <v>55</v>
      </c>
      <c r="R300" t="s">
        <v>102</v>
      </c>
      <c r="S300">
        <v>28.357596265953202</v>
      </c>
      <c r="T300">
        <v>58.6646327774925</v>
      </c>
    </row>
    <row r="301" spans="1:20">
      <c r="A301" t="s">
        <v>1103</v>
      </c>
      <c r="B301" t="s">
        <v>915</v>
      </c>
      <c r="C301" t="s">
        <v>22</v>
      </c>
      <c r="D301">
        <v>27038.154667518898</v>
      </c>
      <c r="E301" s="9">
        <v>45877</v>
      </c>
      <c r="F301" t="s">
        <v>1104</v>
      </c>
      <c r="G301" t="s">
        <v>50</v>
      </c>
      <c r="H301" t="s">
        <v>69</v>
      </c>
      <c r="I301" t="s">
        <v>75</v>
      </c>
      <c r="J301" t="s">
        <v>60</v>
      </c>
      <c r="K301" t="s">
        <v>1105</v>
      </c>
      <c r="L301" t="s">
        <v>42</v>
      </c>
      <c r="M301">
        <v>2614.4819677279302</v>
      </c>
      <c r="N301">
        <v>0</v>
      </c>
      <c r="O301" t="s">
        <v>30</v>
      </c>
      <c r="P301">
        <v>1</v>
      </c>
      <c r="Q301" t="s">
        <v>95</v>
      </c>
      <c r="R301" t="s">
        <v>133</v>
      </c>
      <c r="S301">
        <v>-6.9503545227922503</v>
      </c>
      <c r="T301">
        <v>61.0907522158397</v>
      </c>
    </row>
    <row r="302" spans="1:20">
      <c r="A302" t="s">
        <v>1106</v>
      </c>
      <c r="B302" t="s">
        <v>656</v>
      </c>
      <c r="C302" t="s">
        <v>22</v>
      </c>
      <c r="D302">
        <v>-10000</v>
      </c>
      <c r="E302" s="9">
        <v>45878</v>
      </c>
      <c r="F302" t="s">
        <v>1107</v>
      </c>
      <c r="G302" t="s">
        <v>141</v>
      </c>
      <c r="H302" t="s">
        <v>93</v>
      </c>
      <c r="I302" t="s">
        <v>75</v>
      </c>
      <c r="J302" t="s">
        <v>27</v>
      </c>
      <c r="K302" t="s">
        <v>1108</v>
      </c>
      <c r="M302">
        <v>4291.97385314238</v>
      </c>
      <c r="N302">
        <v>0</v>
      </c>
      <c r="O302" t="s">
        <v>43</v>
      </c>
      <c r="P302">
        <v>1</v>
      </c>
      <c r="Q302" t="s">
        <v>44</v>
      </c>
      <c r="R302" t="s">
        <v>32</v>
      </c>
      <c r="S302">
        <v>0.38103319684873999</v>
      </c>
      <c r="T302">
        <v>30.349623178901499</v>
      </c>
    </row>
    <row r="303" spans="1:20">
      <c r="A303" t="s">
        <v>1109</v>
      </c>
      <c r="B303" t="s">
        <v>763</v>
      </c>
      <c r="C303" t="s">
        <v>35</v>
      </c>
      <c r="D303">
        <v>11082.8509826467</v>
      </c>
      <c r="E303" s="9">
        <v>45879</v>
      </c>
      <c r="F303" t="s">
        <v>1110</v>
      </c>
      <c r="G303" t="s">
        <v>24</v>
      </c>
      <c r="H303" t="s">
        <v>25</v>
      </c>
      <c r="I303" t="s">
        <v>51</v>
      </c>
      <c r="J303" t="s">
        <v>173</v>
      </c>
      <c r="K303" t="s">
        <v>1111</v>
      </c>
      <c r="L303" t="s">
        <v>29</v>
      </c>
      <c r="M303">
        <v>1006.14204162174</v>
      </c>
      <c r="N303">
        <v>0</v>
      </c>
      <c r="O303" t="s">
        <v>30</v>
      </c>
      <c r="P303">
        <v>1</v>
      </c>
      <c r="Q303" t="s">
        <v>95</v>
      </c>
      <c r="R303" t="s">
        <v>82</v>
      </c>
      <c r="S303">
        <v>18.756758345290301</v>
      </c>
      <c r="T303">
        <v>89.650425095899493</v>
      </c>
    </row>
    <row r="304" spans="1:20">
      <c r="A304" t="s">
        <v>1112</v>
      </c>
      <c r="B304" t="s">
        <v>312</v>
      </c>
      <c r="C304" t="s">
        <v>48</v>
      </c>
      <c r="D304">
        <v>36554.401926784099</v>
      </c>
      <c r="E304" s="9">
        <v>45879</v>
      </c>
      <c r="F304" t="s">
        <v>1113</v>
      </c>
      <c r="G304" t="s">
        <v>92</v>
      </c>
      <c r="H304" t="s">
        <v>74</v>
      </c>
      <c r="I304" t="s">
        <v>51</v>
      </c>
      <c r="J304" t="s">
        <v>173</v>
      </c>
      <c r="K304" t="s">
        <v>1114</v>
      </c>
      <c r="L304" t="s">
        <v>81</v>
      </c>
      <c r="M304">
        <v>4969.2306781219504</v>
      </c>
      <c r="N304">
        <v>229.18173971315301</v>
      </c>
      <c r="O304" t="s">
        <v>62</v>
      </c>
      <c r="P304">
        <v>0</v>
      </c>
      <c r="Q304" t="s">
        <v>31</v>
      </c>
      <c r="R304" t="s">
        <v>45</v>
      </c>
      <c r="S304">
        <v>-5.8563861111341904</v>
      </c>
      <c r="T304">
        <v>84.440234319053204</v>
      </c>
    </row>
    <row r="305" spans="1:20">
      <c r="A305" t="s">
        <v>1115</v>
      </c>
      <c r="B305" t="s">
        <v>1116</v>
      </c>
      <c r="C305" t="s">
        <v>85</v>
      </c>
      <c r="D305">
        <v>18216.654688535</v>
      </c>
      <c r="E305" s="9">
        <v>45880</v>
      </c>
      <c r="F305" t="s">
        <v>1117</v>
      </c>
      <c r="G305" t="s">
        <v>163</v>
      </c>
      <c r="H305" t="s">
        <v>25</v>
      </c>
      <c r="I305" t="s">
        <v>39</v>
      </c>
      <c r="J305" t="s">
        <v>40</v>
      </c>
      <c r="K305" t="s">
        <v>1118</v>
      </c>
      <c r="L305" t="s">
        <v>120</v>
      </c>
      <c r="M305">
        <v>2257.4799482059002</v>
      </c>
      <c r="N305">
        <v>219.56533040242499</v>
      </c>
      <c r="O305" t="s">
        <v>101</v>
      </c>
      <c r="P305">
        <v>0</v>
      </c>
      <c r="Q305" t="s">
        <v>63</v>
      </c>
      <c r="R305" t="s">
        <v>133</v>
      </c>
      <c r="S305">
        <v>22.108569072166201</v>
      </c>
      <c r="T305">
        <v>2.6158342323419901</v>
      </c>
    </row>
    <row r="306" spans="1:20">
      <c r="A306" t="s">
        <v>1119</v>
      </c>
      <c r="B306" t="s">
        <v>312</v>
      </c>
      <c r="C306" t="s">
        <v>48</v>
      </c>
      <c r="D306">
        <v>44993.405520079403</v>
      </c>
      <c r="E306" s="9">
        <v>45880</v>
      </c>
      <c r="F306" t="s">
        <v>1120</v>
      </c>
      <c r="G306" t="s">
        <v>68</v>
      </c>
      <c r="H306" t="s">
        <v>69</v>
      </c>
      <c r="I306" t="s">
        <v>51</v>
      </c>
      <c r="J306" t="s">
        <v>60</v>
      </c>
      <c r="K306" t="s">
        <v>1121</v>
      </c>
      <c r="L306" t="s">
        <v>42</v>
      </c>
      <c r="M306">
        <v>965.35547246236399</v>
      </c>
      <c r="N306">
        <v>403.97866405450998</v>
      </c>
      <c r="O306" t="s">
        <v>101</v>
      </c>
      <c r="P306">
        <v>1</v>
      </c>
      <c r="R306" t="s">
        <v>45</v>
      </c>
      <c r="S306">
        <v>23.747572373682399</v>
      </c>
      <c r="T306">
        <v>14.6894163912933</v>
      </c>
    </row>
    <row r="307" spans="1:20">
      <c r="A307" t="s">
        <v>1122</v>
      </c>
      <c r="B307" t="s">
        <v>1123</v>
      </c>
      <c r="C307" t="s">
        <v>35</v>
      </c>
      <c r="D307">
        <v>37520.546398551603</v>
      </c>
      <c r="E307" s="9">
        <v>45880</v>
      </c>
      <c r="F307" t="s">
        <v>1124</v>
      </c>
      <c r="G307" t="s">
        <v>181</v>
      </c>
      <c r="H307" t="s">
        <v>106</v>
      </c>
      <c r="I307" t="s">
        <v>75</v>
      </c>
      <c r="J307" t="s">
        <v>40</v>
      </c>
      <c r="K307" t="s">
        <v>1125</v>
      </c>
      <c r="L307" t="s">
        <v>29</v>
      </c>
      <c r="M307">
        <v>4563.0430907182399</v>
      </c>
      <c r="N307">
        <v>119.375885543012</v>
      </c>
      <c r="O307" t="s">
        <v>30</v>
      </c>
      <c r="P307">
        <v>3</v>
      </c>
      <c r="Q307" t="s">
        <v>44</v>
      </c>
      <c r="R307" t="s">
        <v>32</v>
      </c>
      <c r="S307">
        <v>-13.0199618742553</v>
      </c>
      <c r="T307">
        <v>82.462635280089302</v>
      </c>
    </row>
    <row r="308" spans="1:20">
      <c r="A308" t="s">
        <v>1126</v>
      </c>
      <c r="B308" t="s">
        <v>589</v>
      </c>
      <c r="C308" t="s">
        <v>22</v>
      </c>
      <c r="D308">
        <v>999999</v>
      </c>
      <c r="E308" s="9">
        <v>45881</v>
      </c>
      <c r="F308" t="s">
        <v>1127</v>
      </c>
      <c r="G308" t="s">
        <v>92</v>
      </c>
      <c r="H308" t="s">
        <v>106</v>
      </c>
      <c r="I308" t="s">
        <v>99</v>
      </c>
      <c r="J308" t="s">
        <v>87</v>
      </c>
      <c r="K308" t="s">
        <v>1128</v>
      </c>
      <c r="L308" t="s">
        <v>29</v>
      </c>
      <c r="M308">
        <v>2708.3545079727701</v>
      </c>
      <c r="N308">
        <v>0</v>
      </c>
      <c r="O308" t="s">
        <v>30</v>
      </c>
      <c r="P308">
        <v>1</v>
      </c>
      <c r="Q308" t="s">
        <v>63</v>
      </c>
      <c r="R308" t="s">
        <v>45</v>
      </c>
      <c r="S308">
        <v>-25.681150892200701</v>
      </c>
      <c r="T308">
        <v>38.122995277487703</v>
      </c>
    </row>
    <row r="309" spans="1:20">
      <c r="A309" t="s">
        <v>1129</v>
      </c>
      <c r="B309" t="s">
        <v>629</v>
      </c>
      <c r="C309" t="s">
        <v>35</v>
      </c>
      <c r="D309">
        <v>-100</v>
      </c>
      <c r="E309" s="9">
        <v>45881</v>
      </c>
      <c r="F309" t="s">
        <v>1130</v>
      </c>
      <c r="G309" t="s">
        <v>50</v>
      </c>
      <c r="H309" t="s">
        <v>25</v>
      </c>
      <c r="I309" t="s">
        <v>39</v>
      </c>
      <c r="J309" t="s">
        <v>40</v>
      </c>
      <c r="K309" t="s">
        <v>1131</v>
      </c>
      <c r="L309" t="s">
        <v>29</v>
      </c>
      <c r="M309">
        <v>58.136597706625899</v>
      </c>
      <c r="N309">
        <v>0</v>
      </c>
      <c r="O309" t="s">
        <v>43</v>
      </c>
      <c r="P309">
        <v>1</v>
      </c>
      <c r="R309" t="s">
        <v>82</v>
      </c>
      <c r="S309">
        <v>-7.9289583235524903</v>
      </c>
      <c r="T309">
        <v>87.460579450316601</v>
      </c>
    </row>
    <row r="310" spans="1:20">
      <c r="A310" t="s">
        <v>1132</v>
      </c>
      <c r="B310" t="s">
        <v>1133</v>
      </c>
      <c r="C310" t="s">
        <v>48</v>
      </c>
      <c r="D310">
        <v>11861.0181286435</v>
      </c>
      <c r="E310" s="9">
        <v>45881</v>
      </c>
      <c r="F310" t="s">
        <v>1134</v>
      </c>
      <c r="G310" t="s">
        <v>68</v>
      </c>
      <c r="H310" t="s">
        <v>74</v>
      </c>
      <c r="I310" t="s">
        <v>99</v>
      </c>
      <c r="J310" t="s">
        <v>27</v>
      </c>
      <c r="K310" t="s">
        <v>1135</v>
      </c>
      <c r="L310" t="s">
        <v>29</v>
      </c>
      <c r="M310">
        <v>653.30353381784903</v>
      </c>
      <c r="N310">
        <v>463.872866537704</v>
      </c>
      <c r="O310" t="s">
        <v>43</v>
      </c>
      <c r="P310">
        <v>0</v>
      </c>
      <c r="Q310" t="s">
        <v>63</v>
      </c>
      <c r="R310" t="s">
        <v>45</v>
      </c>
      <c r="S310">
        <v>26.989752329182</v>
      </c>
      <c r="T310">
        <v>50.0297874393992</v>
      </c>
    </row>
    <row r="311" spans="1:20">
      <c r="A311" t="s">
        <v>1136</v>
      </c>
      <c r="B311" t="s">
        <v>241</v>
      </c>
      <c r="C311" t="s">
        <v>85</v>
      </c>
      <c r="D311">
        <v>27880.407080690002</v>
      </c>
      <c r="E311" s="9">
        <v>45882</v>
      </c>
      <c r="F311" t="s">
        <v>1137</v>
      </c>
      <c r="G311" t="s">
        <v>59</v>
      </c>
      <c r="H311" t="s">
        <v>25</v>
      </c>
      <c r="I311" t="s">
        <v>99</v>
      </c>
      <c r="J311" t="s">
        <v>87</v>
      </c>
      <c r="K311" t="s">
        <v>1138</v>
      </c>
      <c r="L311" t="s">
        <v>120</v>
      </c>
      <c r="M311">
        <v>4369.4981331551899</v>
      </c>
      <c r="N311">
        <v>0</v>
      </c>
      <c r="O311" t="s">
        <v>30</v>
      </c>
      <c r="P311">
        <v>3</v>
      </c>
      <c r="Q311" t="s">
        <v>44</v>
      </c>
      <c r="R311" t="s">
        <v>45</v>
      </c>
      <c r="S311">
        <v>15.216607888679199</v>
      </c>
      <c r="T311">
        <v>20.9534623950126</v>
      </c>
    </row>
    <row r="312" spans="1:20">
      <c r="A312" t="s">
        <v>1139</v>
      </c>
      <c r="B312" t="s">
        <v>1140</v>
      </c>
      <c r="D312">
        <v>4426.5900719229603</v>
      </c>
      <c r="E312" s="9">
        <v>45882</v>
      </c>
      <c r="F312" t="s">
        <v>1141</v>
      </c>
      <c r="G312" t="s">
        <v>68</v>
      </c>
      <c r="H312" t="s">
        <v>93</v>
      </c>
      <c r="I312" t="s">
        <v>39</v>
      </c>
      <c r="J312" t="s">
        <v>60</v>
      </c>
      <c r="K312" t="s">
        <v>1142</v>
      </c>
      <c r="L312" t="s">
        <v>81</v>
      </c>
      <c r="M312">
        <v>959.73409228411094</v>
      </c>
      <c r="N312">
        <v>0</v>
      </c>
      <c r="O312" t="s">
        <v>30</v>
      </c>
      <c r="P312">
        <v>4</v>
      </c>
      <c r="Q312" t="s">
        <v>63</v>
      </c>
      <c r="R312" t="s">
        <v>64</v>
      </c>
      <c r="S312">
        <v>2.5545271521348099</v>
      </c>
      <c r="T312">
        <v>18.319824512663502</v>
      </c>
    </row>
    <row r="313" spans="1:20">
      <c r="A313" t="s">
        <v>1143</v>
      </c>
      <c r="B313" t="s">
        <v>166</v>
      </c>
      <c r="C313" t="s">
        <v>48</v>
      </c>
      <c r="D313">
        <v>16938.597010208701</v>
      </c>
      <c r="E313" s="9">
        <v>45883</v>
      </c>
      <c r="F313" t="s">
        <v>1144</v>
      </c>
      <c r="G313" t="s">
        <v>24</v>
      </c>
      <c r="H313" t="s">
        <v>25</v>
      </c>
      <c r="I313" t="s">
        <v>26</v>
      </c>
      <c r="J313" t="s">
        <v>173</v>
      </c>
      <c r="K313" t="s">
        <v>1145</v>
      </c>
      <c r="L313" t="s">
        <v>29</v>
      </c>
      <c r="M313">
        <v>2108.5136300693398</v>
      </c>
      <c r="N313">
        <v>304.84095413788901</v>
      </c>
      <c r="O313" t="s">
        <v>43</v>
      </c>
      <c r="P313">
        <v>3</v>
      </c>
      <c r="Q313" t="s">
        <v>55</v>
      </c>
      <c r="R313" t="s">
        <v>45</v>
      </c>
      <c r="S313">
        <v>-25.7245000411063</v>
      </c>
      <c r="T313">
        <v>27.946944122964901</v>
      </c>
    </row>
    <row r="314" spans="1:20">
      <c r="A314" t="s">
        <v>1146</v>
      </c>
      <c r="B314" t="s">
        <v>1047</v>
      </c>
      <c r="C314" t="s">
        <v>85</v>
      </c>
      <c r="D314">
        <v>27480.893929449699</v>
      </c>
      <c r="E314" s="9">
        <v>45883</v>
      </c>
      <c r="F314" t="s">
        <v>1147</v>
      </c>
      <c r="G314" t="s">
        <v>181</v>
      </c>
      <c r="H314" t="s">
        <v>25</v>
      </c>
      <c r="I314" t="s">
        <v>39</v>
      </c>
      <c r="J314" t="s">
        <v>173</v>
      </c>
      <c r="K314" t="s">
        <v>1148</v>
      </c>
      <c r="L314" t="s">
        <v>155</v>
      </c>
      <c r="M314">
        <v>3009.3079348861402</v>
      </c>
      <c r="N314">
        <v>0</v>
      </c>
      <c r="O314" t="s">
        <v>62</v>
      </c>
      <c r="P314">
        <v>2</v>
      </c>
      <c r="R314" t="s">
        <v>102</v>
      </c>
      <c r="S314">
        <v>14.223811058650501</v>
      </c>
      <c r="T314">
        <v>84.993749140472403</v>
      </c>
    </row>
    <row r="315" spans="1:20">
      <c r="A315" t="s">
        <v>1149</v>
      </c>
      <c r="B315" t="s">
        <v>387</v>
      </c>
      <c r="C315" t="s">
        <v>48</v>
      </c>
      <c r="D315">
        <v>475.96472039032898</v>
      </c>
      <c r="E315" s="9">
        <v>45883</v>
      </c>
      <c r="F315" t="s">
        <v>1150</v>
      </c>
      <c r="G315" t="s">
        <v>37</v>
      </c>
      <c r="H315" t="s">
        <v>69</v>
      </c>
      <c r="I315" t="s">
        <v>39</v>
      </c>
      <c r="J315" t="s">
        <v>27</v>
      </c>
      <c r="K315" t="s">
        <v>1151</v>
      </c>
      <c r="L315" t="s">
        <v>120</v>
      </c>
      <c r="M315">
        <v>2366.5032892663098</v>
      </c>
      <c r="N315">
        <v>0</v>
      </c>
      <c r="O315" t="s">
        <v>101</v>
      </c>
      <c r="P315">
        <v>2</v>
      </c>
      <c r="Q315" t="s">
        <v>31</v>
      </c>
      <c r="R315" t="s">
        <v>102</v>
      </c>
      <c r="S315">
        <v>2.9180583116750101</v>
      </c>
      <c r="T315">
        <v>5.4684620753365598</v>
      </c>
    </row>
    <row r="316" spans="1:20">
      <c r="A316" t="s">
        <v>1152</v>
      </c>
      <c r="B316" t="s">
        <v>1153</v>
      </c>
      <c r="C316" t="s">
        <v>85</v>
      </c>
      <c r="D316">
        <v>41357.261507673</v>
      </c>
      <c r="E316" s="9">
        <v>45883</v>
      </c>
      <c r="F316" t="s">
        <v>1154</v>
      </c>
      <c r="G316" t="s">
        <v>37</v>
      </c>
      <c r="H316" t="s">
        <v>106</v>
      </c>
      <c r="I316" t="s">
        <v>39</v>
      </c>
      <c r="J316" t="s">
        <v>173</v>
      </c>
      <c r="K316" t="s">
        <v>1155</v>
      </c>
      <c r="L316" t="s">
        <v>81</v>
      </c>
      <c r="M316">
        <v>2254.9920021847302</v>
      </c>
      <c r="N316">
        <v>0</v>
      </c>
      <c r="O316" t="s">
        <v>101</v>
      </c>
      <c r="P316">
        <v>1</v>
      </c>
      <c r="Q316" t="s">
        <v>95</v>
      </c>
      <c r="R316" t="s">
        <v>133</v>
      </c>
      <c r="S316">
        <v>-21.4407389116103</v>
      </c>
      <c r="T316">
        <v>41.114893234013898</v>
      </c>
    </row>
    <row r="317" spans="1:20">
      <c r="A317" t="s">
        <v>1156</v>
      </c>
      <c r="B317" t="s">
        <v>1090</v>
      </c>
      <c r="C317" t="s">
        <v>85</v>
      </c>
      <c r="D317">
        <v>43428.225241075801</v>
      </c>
      <c r="E317" s="9">
        <v>45883</v>
      </c>
      <c r="F317" t="s">
        <v>1157</v>
      </c>
      <c r="G317" t="s">
        <v>24</v>
      </c>
      <c r="H317" t="s">
        <v>38</v>
      </c>
      <c r="I317" t="s">
        <v>75</v>
      </c>
      <c r="J317" t="s">
        <v>27</v>
      </c>
      <c r="K317" t="s">
        <v>1158</v>
      </c>
      <c r="L317" t="s">
        <v>81</v>
      </c>
      <c r="M317">
        <v>2038.87601879165</v>
      </c>
      <c r="N317">
        <v>0</v>
      </c>
      <c r="O317" t="s">
        <v>43</v>
      </c>
      <c r="P317">
        <v>3</v>
      </c>
      <c r="Q317" t="s">
        <v>63</v>
      </c>
      <c r="R317" t="s">
        <v>64</v>
      </c>
      <c r="S317">
        <v>-8.6165700420057494</v>
      </c>
      <c r="T317">
        <v>98.632817356012595</v>
      </c>
    </row>
    <row r="318" spans="1:20">
      <c r="A318" t="s">
        <v>1159</v>
      </c>
      <c r="B318" t="s">
        <v>535</v>
      </c>
      <c r="C318" t="s">
        <v>22</v>
      </c>
      <c r="D318">
        <v>24369.2383515808</v>
      </c>
      <c r="E318" s="9">
        <v>45884</v>
      </c>
      <c r="F318" t="s">
        <v>1160</v>
      </c>
      <c r="G318" t="s">
        <v>24</v>
      </c>
      <c r="H318" t="s">
        <v>69</v>
      </c>
      <c r="I318" t="s">
        <v>75</v>
      </c>
      <c r="J318" t="s">
        <v>27</v>
      </c>
      <c r="K318" t="s">
        <v>1161</v>
      </c>
      <c r="L318" t="s">
        <v>42</v>
      </c>
      <c r="M318">
        <v>121.18711812155701</v>
      </c>
      <c r="N318">
        <v>0</v>
      </c>
      <c r="O318" t="s">
        <v>101</v>
      </c>
      <c r="P318">
        <v>4</v>
      </c>
      <c r="Q318" t="s">
        <v>63</v>
      </c>
      <c r="R318" t="s">
        <v>133</v>
      </c>
      <c r="S318">
        <v>-18.6968994399076</v>
      </c>
      <c r="T318">
        <v>81.361572598071902</v>
      </c>
    </row>
    <row r="319" spans="1:20">
      <c r="A319" t="s">
        <v>1162</v>
      </c>
      <c r="B319" t="s">
        <v>192</v>
      </c>
      <c r="C319" t="s">
        <v>48</v>
      </c>
      <c r="D319">
        <v>42051.428295308797</v>
      </c>
      <c r="E319" s="9">
        <v>45884</v>
      </c>
      <c r="F319" t="s">
        <v>1163</v>
      </c>
      <c r="G319" t="s">
        <v>163</v>
      </c>
      <c r="H319" t="s">
        <v>93</v>
      </c>
      <c r="I319" t="s">
        <v>75</v>
      </c>
      <c r="J319" t="s">
        <v>173</v>
      </c>
      <c r="K319" t="s">
        <v>1164</v>
      </c>
      <c r="L319" t="s">
        <v>53</v>
      </c>
      <c r="M319">
        <v>4324.24881142712</v>
      </c>
      <c r="N319">
        <v>0</v>
      </c>
      <c r="O319" t="s">
        <v>54</v>
      </c>
      <c r="P319">
        <v>4</v>
      </c>
      <c r="Q319" t="s">
        <v>31</v>
      </c>
      <c r="R319" t="s">
        <v>45</v>
      </c>
      <c r="S319">
        <v>-2.06966000835122</v>
      </c>
      <c r="T319">
        <v>89.756219345315998</v>
      </c>
    </row>
    <row r="320" spans="1:20">
      <c r="A320" t="s">
        <v>1165</v>
      </c>
      <c r="B320" t="s">
        <v>1166</v>
      </c>
      <c r="C320" t="s">
        <v>48</v>
      </c>
      <c r="D320">
        <v>30443.583692140099</v>
      </c>
      <c r="E320" s="9">
        <v>45884</v>
      </c>
      <c r="F320" t="s">
        <v>1167</v>
      </c>
      <c r="G320" t="s">
        <v>163</v>
      </c>
      <c r="H320" t="s">
        <v>93</v>
      </c>
      <c r="I320" t="s">
        <v>75</v>
      </c>
      <c r="J320" t="s">
        <v>60</v>
      </c>
      <c r="K320" t="s">
        <v>1168</v>
      </c>
      <c r="L320" t="s">
        <v>42</v>
      </c>
      <c r="M320">
        <v>3837.70947708424</v>
      </c>
      <c r="N320">
        <v>0</v>
      </c>
      <c r="O320" t="s">
        <v>54</v>
      </c>
      <c r="P320">
        <v>4</v>
      </c>
      <c r="Q320" t="s">
        <v>95</v>
      </c>
      <c r="R320" t="s">
        <v>45</v>
      </c>
      <c r="S320">
        <v>16.3728346478111</v>
      </c>
      <c r="T320">
        <v>67.638937805490997</v>
      </c>
    </row>
    <row r="321" spans="1:20">
      <c r="A321" t="s">
        <v>1169</v>
      </c>
      <c r="B321" t="s">
        <v>1090</v>
      </c>
      <c r="C321" t="s">
        <v>22</v>
      </c>
      <c r="D321">
        <v>29538.799267168</v>
      </c>
      <c r="E321" s="9">
        <v>45884</v>
      </c>
      <c r="F321" t="s">
        <v>1170</v>
      </c>
      <c r="G321" t="s">
        <v>172</v>
      </c>
      <c r="H321" t="s">
        <v>74</v>
      </c>
      <c r="I321" t="s">
        <v>51</v>
      </c>
      <c r="J321" t="s">
        <v>173</v>
      </c>
      <c r="K321" t="s">
        <v>1171</v>
      </c>
      <c r="L321" t="s">
        <v>42</v>
      </c>
      <c r="M321">
        <v>3198.5386807435202</v>
      </c>
      <c r="N321">
        <v>0</v>
      </c>
      <c r="O321" t="s">
        <v>62</v>
      </c>
      <c r="P321">
        <v>0</v>
      </c>
      <c r="Q321" t="s">
        <v>55</v>
      </c>
      <c r="R321" t="s">
        <v>102</v>
      </c>
      <c r="S321">
        <v>-23.6941469871817</v>
      </c>
      <c r="T321">
        <v>88.820919321414905</v>
      </c>
    </row>
    <row r="322" spans="1:20">
      <c r="A322" t="s">
        <v>1172</v>
      </c>
      <c r="B322" t="s">
        <v>66</v>
      </c>
      <c r="C322" t="s">
        <v>85</v>
      </c>
      <c r="D322">
        <v>27909.537907613401</v>
      </c>
      <c r="E322" s="9">
        <v>45885</v>
      </c>
      <c r="F322" t="s">
        <v>1173</v>
      </c>
      <c r="G322" t="s">
        <v>163</v>
      </c>
      <c r="H322" t="s">
        <v>74</v>
      </c>
      <c r="I322" t="s">
        <v>39</v>
      </c>
      <c r="J322" t="s">
        <v>173</v>
      </c>
      <c r="K322" t="s">
        <v>1174</v>
      </c>
      <c r="L322" t="s">
        <v>29</v>
      </c>
      <c r="M322">
        <v>2094.8816187493599</v>
      </c>
      <c r="N322">
        <v>0</v>
      </c>
      <c r="O322" t="s">
        <v>30</v>
      </c>
      <c r="P322">
        <v>4</v>
      </c>
      <c r="Q322" t="s">
        <v>55</v>
      </c>
      <c r="R322" t="s">
        <v>82</v>
      </c>
      <c r="S322">
        <v>7.5590348350772096</v>
      </c>
      <c r="T322">
        <v>32.455410973092597</v>
      </c>
    </row>
    <row r="323" spans="1:20">
      <c r="A323" t="s">
        <v>1175</v>
      </c>
      <c r="B323" t="s">
        <v>1176</v>
      </c>
      <c r="C323" t="s">
        <v>22</v>
      </c>
      <c r="D323">
        <v>35275.784929478803</v>
      </c>
      <c r="E323" s="9">
        <v>45885</v>
      </c>
      <c r="F323" t="s">
        <v>1177</v>
      </c>
      <c r="G323" t="s">
        <v>141</v>
      </c>
      <c r="H323" t="s">
        <v>106</v>
      </c>
      <c r="I323" t="s">
        <v>75</v>
      </c>
      <c r="J323" t="s">
        <v>87</v>
      </c>
      <c r="K323" t="s">
        <v>1178</v>
      </c>
      <c r="L323" t="s">
        <v>29</v>
      </c>
      <c r="M323">
        <v>2684.5032305381601</v>
      </c>
      <c r="N323">
        <v>224.51888018498099</v>
      </c>
      <c r="O323" t="s">
        <v>54</v>
      </c>
      <c r="P323">
        <v>4</v>
      </c>
      <c r="Q323" t="s">
        <v>44</v>
      </c>
      <c r="R323" t="s">
        <v>32</v>
      </c>
      <c r="S323">
        <v>16.306976344100899</v>
      </c>
      <c r="T323">
        <v>94.215791702999297</v>
      </c>
    </row>
    <row r="324" spans="1:20">
      <c r="A324" t="s">
        <v>1172</v>
      </c>
      <c r="B324" t="s">
        <v>66</v>
      </c>
      <c r="C324" t="s">
        <v>85</v>
      </c>
      <c r="D324">
        <v>27909.537907613401</v>
      </c>
      <c r="E324" s="9">
        <v>45885</v>
      </c>
      <c r="F324" t="s">
        <v>1173</v>
      </c>
      <c r="G324" t="s">
        <v>163</v>
      </c>
      <c r="H324" t="s">
        <v>74</v>
      </c>
      <c r="I324" t="s">
        <v>39</v>
      </c>
      <c r="J324" t="s">
        <v>173</v>
      </c>
      <c r="K324" t="s">
        <v>1174</v>
      </c>
      <c r="L324" t="s">
        <v>29</v>
      </c>
      <c r="M324">
        <v>2094.8816187493599</v>
      </c>
      <c r="N324">
        <v>0</v>
      </c>
      <c r="O324" t="s">
        <v>30</v>
      </c>
      <c r="P324">
        <v>4</v>
      </c>
      <c r="Q324" t="s">
        <v>55</v>
      </c>
      <c r="R324" t="s">
        <v>82</v>
      </c>
      <c r="S324">
        <v>7.5590348350772096</v>
      </c>
      <c r="T324">
        <v>32.455410973092597</v>
      </c>
    </row>
    <row r="325" spans="1:20">
      <c r="A325" t="s">
        <v>1179</v>
      </c>
      <c r="B325" t="s">
        <v>490</v>
      </c>
      <c r="C325" t="s">
        <v>48</v>
      </c>
      <c r="D325">
        <v>34180.8049645149</v>
      </c>
      <c r="E325" s="9">
        <v>45890</v>
      </c>
      <c r="F325" t="s">
        <v>1180</v>
      </c>
      <c r="G325" t="s">
        <v>163</v>
      </c>
      <c r="H325" t="s">
        <v>25</v>
      </c>
      <c r="I325" t="s">
        <v>99</v>
      </c>
      <c r="J325" t="s">
        <v>60</v>
      </c>
      <c r="K325" t="s">
        <v>1181</v>
      </c>
      <c r="L325" t="s">
        <v>29</v>
      </c>
      <c r="M325">
        <v>4759.4144667965802</v>
      </c>
      <c r="N325">
        <v>53.106913794228099</v>
      </c>
      <c r="O325" t="s">
        <v>62</v>
      </c>
      <c r="P325">
        <v>3</v>
      </c>
      <c r="Q325" t="s">
        <v>63</v>
      </c>
      <c r="R325" t="s">
        <v>82</v>
      </c>
      <c r="S325">
        <v>-26.1448366227233</v>
      </c>
      <c r="T325">
        <v>60.358124712306299</v>
      </c>
    </row>
    <row r="326" spans="1:20">
      <c r="A326" t="s">
        <v>1182</v>
      </c>
      <c r="B326" t="s">
        <v>312</v>
      </c>
      <c r="C326" t="s">
        <v>85</v>
      </c>
      <c r="D326">
        <v>3424.29370830177</v>
      </c>
      <c r="E326" s="9">
        <v>45890</v>
      </c>
      <c r="F326" t="s">
        <v>1183</v>
      </c>
      <c r="G326" t="s">
        <v>141</v>
      </c>
      <c r="H326" t="s">
        <v>69</v>
      </c>
      <c r="I326" t="s">
        <v>51</v>
      </c>
      <c r="J326" t="s">
        <v>87</v>
      </c>
      <c r="K326" t="s">
        <v>1184</v>
      </c>
      <c r="L326" t="s">
        <v>29</v>
      </c>
      <c r="M326">
        <v>3700.17922434413</v>
      </c>
      <c r="N326">
        <v>288.67670060983397</v>
      </c>
      <c r="O326" t="s">
        <v>30</v>
      </c>
      <c r="P326">
        <v>2</v>
      </c>
      <c r="R326" t="s">
        <v>64</v>
      </c>
      <c r="S326">
        <v>10.198195445799399</v>
      </c>
      <c r="T326">
        <v>31.8352022136011</v>
      </c>
    </row>
    <row r="327" spans="1:20">
      <c r="A327" t="s">
        <v>1185</v>
      </c>
      <c r="B327" t="s">
        <v>353</v>
      </c>
      <c r="C327" t="s">
        <v>48</v>
      </c>
      <c r="D327">
        <v>40285.2168711595</v>
      </c>
      <c r="E327" s="9">
        <v>45890</v>
      </c>
      <c r="F327" t="s">
        <v>1186</v>
      </c>
      <c r="G327" t="s">
        <v>181</v>
      </c>
      <c r="H327" t="s">
        <v>93</v>
      </c>
      <c r="I327" t="s">
        <v>39</v>
      </c>
      <c r="J327" t="s">
        <v>60</v>
      </c>
      <c r="K327" t="s">
        <v>1187</v>
      </c>
      <c r="L327" t="s">
        <v>155</v>
      </c>
      <c r="M327">
        <v>2462.5529862766102</v>
      </c>
      <c r="N327">
        <v>410.91966137645102</v>
      </c>
      <c r="O327" t="s">
        <v>43</v>
      </c>
      <c r="P327">
        <v>3</v>
      </c>
      <c r="Q327" t="s">
        <v>95</v>
      </c>
      <c r="R327" t="s">
        <v>82</v>
      </c>
      <c r="S327">
        <v>16.325371432877098</v>
      </c>
      <c r="T327">
        <v>90.438113466552295</v>
      </c>
    </row>
    <row r="328" spans="1:20">
      <c r="A328" t="s">
        <v>1188</v>
      </c>
      <c r="B328" t="s">
        <v>395</v>
      </c>
      <c r="C328" t="s">
        <v>85</v>
      </c>
      <c r="D328">
        <v>5424.2925806604599</v>
      </c>
      <c r="E328" s="9">
        <v>45892</v>
      </c>
      <c r="F328" t="s">
        <v>1189</v>
      </c>
      <c r="G328" t="s">
        <v>172</v>
      </c>
      <c r="H328" t="s">
        <v>74</v>
      </c>
      <c r="I328" t="s">
        <v>51</v>
      </c>
      <c r="J328" t="s">
        <v>40</v>
      </c>
      <c r="K328" t="s">
        <v>142</v>
      </c>
      <c r="L328" t="s">
        <v>120</v>
      </c>
      <c r="M328">
        <v>3374.3593275476801</v>
      </c>
      <c r="N328">
        <v>0</v>
      </c>
      <c r="O328" t="s">
        <v>43</v>
      </c>
      <c r="P328">
        <v>3</v>
      </c>
      <c r="Q328" t="s">
        <v>95</v>
      </c>
      <c r="R328" t="s">
        <v>64</v>
      </c>
      <c r="S328">
        <v>-22.430814222731001</v>
      </c>
      <c r="T328">
        <v>46.997843465779397</v>
      </c>
    </row>
    <row r="329" spans="1:20">
      <c r="A329" t="s">
        <v>1190</v>
      </c>
      <c r="B329" t="s">
        <v>738</v>
      </c>
      <c r="C329" t="s">
        <v>22</v>
      </c>
      <c r="D329">
        <v>22600.431326063601</v>
      </c>
      <c r="E329" s="9">
        <v>45893</v>
      </c>
      <c r="F329" t="s">
        <v>1191</v>
      </c>
      <c r="H329" t="s">
        <v>93</v>
      </c>
      <c r="I329" t="s">
        <v>99</v>
      </c>
      <c r="J329" t="s">
        <v>27</v>
      </c>
      <c r="K329" t="s">
        <v>1192</v>
      </c>
      <c r="L329" t="s">
        <v>53</v>
      </c>
      <c r="M329">
        <v>4521.0781202209</v>
      </c>
      <c r="N329">
        <v>0</v>
      </c>
      <c r="O329" t="s">
        <v>43</v>
      </c>
      <c r="P329">
        <v>4</v>
      </c>
      <c r="Q329" t="s">
        <v>31</v>
      </c>
      <c r="R329" t="s">
        <v>45</v>
      </c>
      <c r="S329">
        <v>-25.812030906315002</v>
      </c>
      <c r="T329">
        <v>14.5567509833236</v>
      </c>
    </row>
    <row r="330" spans="1:20">
      <c r="A330" t="s">
        <v>1193</v>
      </c>
      <c r="B330" t="s">
        <v>1194</v>
      </c>
      <c r="C330" t="s">
        <v>48</v>
      </c>
      <c r="D330">
        <v>32603.223828313501</v>
      </c>
      <c r="E330" s="9">
        <v>45893</v>
      </c>
      <c r="F330" t="s">
        <v>1195</v>
      </c>
      <c r="G330" t="s">
        <v>24</v>
      </c>
      <c r="H330" t="s">
        <v>38</v>
      </c>
      <c r="I330" t="s">
        <v>51</v>
      </c>
      <c r="J330" t="s">
        <v>27</v>
      </c>
      <c r="K330" t="s">
        <v>1196</v>
      </c>
      <c r="L330" t="s">
        <v>81</v>
      </c>
      <c r="M330">
        <v>4849.5988975764703</v>
      </c>
      <c r="N330">
        <v>0</v>
      </c>
      <c r="O330" t="s">
        <v>101</v>
      </c>
      <c r="P330">
        <v>1</v>
      </c>
      <c r="Q330" t="s">
        <v>31</v>
      </c>
      <c r="R330" t="s">
        <v>32</v>
      </c>
      <c r="S330">
        <v>-19.435042018097</v>
      </c>
      <c r="T330">
        <v>40.788261019698297</v>
      </c>
    </row>
    <row r="331" spans="1:20">
      <c r="A331" t="s">
        <v>1197</v>
      </c>
      <c r="B331" t="s">
        <v>219</v>
      </c>
      <c r="C331" t="s">
        <v>85</v>
      </c>
      <c r="D331">
        <v>26227.753573149101</v>
      </c>
      <c r="E331" s="9">
        <v>45893</v>
      </c>
      <c r="F331" t="s">
        <v>1198</v>
      </c>
      <c r="G331" t="s">
        <v>181</v>
      </c>
      <c r="H331" t="s">
        <v>74</v>
      </c>
      <c r="I331" t="s">
        <v>99</v>
      </c>
      <c r="J331" t="s">
        <v>173</v>
      </c>
      <c r="K331" t="s">
        <v>1199</v>
      </c>
      <c r="L331" t="s">
        <v>53</v>
      </c>
      <c r="M331">
        <v>457.90956071664402</v>
      </c>
      <c r="N331">
        <v>0</v>
      </c>
      <c r="O331" t="s">
        <v>101</v>
      </c>
      <c r="P331">
        <v>0</v>
      </c>
      <c r="R331" t="s">
        <v>32</v>
      </c>
      <c r="S331">
        <v>15.1401106786731</v>
      </c>
      <c r="T331">
        <v>57.688327497694601</v>
      </c>
    </row>
    <row r="332" spans="1:20">
      <c r="A332" t="s">
        <v>1200</v>
      </c>
      <c r="B332" t="s">
        <v>184</v>
      </c>
      <c r="C332" t="s">
        <v>85</v>
      </c>
      <c r="D332">
        <v>48779.511652569498</v>
      </c>
      <c r="E332" s="9">
        <v>45893</v>
      </c>
      <c r="F332" t="s">
        <v>1201</v>
      </c>
      <c r="G332" t="s">
        <v>24</v>
      </c>
      <c r="H332" t="s">
        <v>25</v>
      </c>
      <c r="I332" t="s">
        <v>39</v>
      </c>
      <c r="J332" t="s">
        <v>40</v>
      </c>
      <c r="K332" t="s">
        <v>1202</v>
      </c>
      <c r="L332" t="s">
        <v>53</v>
      </c>
      <c r="M332">
        <v>1922.21135045456</v>
      </c>
      <c r="N332">
        <v>192.529027859481</v>
      </c>
      <c r="O332" t="s">
        <v>43</v>
      </c>
      <c r="P332">
        <v>2</v>
      </c>
      <c r="Q332" t="s">
        <v>44</v>
      </c>
      <c r="R332" t="s">
        <v>64</v>
      </c>
      <c r="S332">
        <v>11.3783111795344</v>
      </c>
      <c r="T332">
        <v>41.5439016259661</v>
      </c>
    </row>
    <row r="333" spans="1:20">
      <c r="A333" t="s">
        <v>1203</v>
      </c>
      <c r="B333" t="s">
        <v>890</v>
      </c>
      <c r="C333" t="s">
        <v>22</v>
      </c>
      <c r="D333">
        <v>48402.9039185613</v>
      </c>
      <c r="E333" s="9">
        <v>45894</v>
      </c>
      <c r="F333" t="s">
        <v>1204</v>
      </c>
      <c r="G333" t="s">
        <v>163</v>
      </c>
      <c r="H333" t="s">
        <v>25</v>
      </c>
      <c r="I333" t="s">
        <v>99</v>
      </c>
      <c r="J333" t="s">
        <v>173</v>
      </c>
      <c r="K333" t="s">
        <v>1205</v>
      </c>
      <c r="L333" t="s">
        <v>53</v>
      </c>
      <c r="M333">
        <v>3677.6529772925601</v>
      </c>
      <c r="N333">
        <v>0</v>
      </c>
      <c r="O333" t="s">
        <v>101</v>
      </c>
      <c r="P333">
        <v>2</v>
      </c>
      <c r="Q333" t="s">
        <v>95</v>
      </c>
      <c r="R333" t="s">
        <v>64</v>
      </c>
      <c r="S333">
        <v>-26.639861463660001</v>
      </c>
      <c r="T333">
        <v>44.4755898202013</v>
      </c>
    </row>
    <row r="334" spans="1:20">
      <c r="A334" t="s">
        <v>1206</v>
      </c>
      <c r="B334" t="s">
        <v>372</v>
      </c>
      <c r="C334" t="s">
        <v>22</v>
      </c>
      <c r="D334">
        <v>48108.729409629501</v>
      </c>
      <c r="E334" s="9">
        <v>45894</v>
      </c>
      <c r="F334" t="s">
        <v>1207</v>
      </c>
      <c r="G334" t="s">
        <v>24</v>
      </c>
      <c r="H334" t="s">
        <v>38</v>
      </c>
      <c r="I334" t="s">
        <v>39</v>
      </c>
      <c r="J334" t="s">
        <v>27</v>
      </c>
      <c r="K334" t="s">
        <v>1208</v>
      </c>
      <c r="L334" t="s">
        <v>155</v>
      </c>
      <c r="M334">
        <v>2934.2964254451799</v>
      </c>
      <c r="N334">
        <v>0</v>
      </c>
      <c r="O334" t="s">
        <v>30</v>
      </c>
      <c r="P334">
        <v>1</v>
      </c>
      <c r="Q334" t="s">
        <v>95</v>
      </c>
      <c r="R334" t="s">
        <v>45</v>
      </c>
      <c r="S334">
        <v>21.335333644533801</v>
      </c>
      <c r="T334">
        <v>91.163868973530398</v>
      </c>
    </row>
    <row r="335" spans="1:20">
      <c r="A335" t="s">
        <v>1209</v>
      </c>
      <c r="B335" t="s">
        <v>1210</v>
      </c>
      <c r="C335" t="s">
        <v>22</v>
      </c>
      <c r="D335">
        <v>20321.879592581699</v>
      </c>
      <c r="E335" s="9">
        <v>45895</v>
      </c>
      <c r="F335" t="s">
        <v>1211</v>
      </c>
      <c r="G335" t="s">
        <v>24</v>
      </c>
      <c r="H335" t="s">
        <v>74</v>
      </c>
      <c r="I335" t="s">
        <v>26</v>
      </c>
      <c r="J335" t="s">
        <v>60</v>
      </c>
      <c r="K335" t="s">
        <v>1212</v>
      </c>
      <c r="L335" t="s">
        <v>53</v>
      </c>
      <c r="M335">
        <v>1969.0910164530801</v>
      </c>
      <c r="N335">
        <v>238.93367745656801</v>
      </c>
      <c r="O335" t="s">
        <v>43</v>
      </c>
      <c r="P335">
        <v>2</v>
      </c>
      <c r="Q335" t="s">
        <v>95</v>
      </c>
      <c r="R335" t="s">
        <v>32</v>
      </c>
      <c r="S335">
        <v>22.024799829505401</v>
      </c>
      <c r="T335">
        <v>29.239102384774</v>
      </c>
    </row>
    <row r="336" spans="1:20">
      <c r="A336" t="s">
        <v>1213</v>
      </c>
      <c r="B336" t="s">
        <v>984</v>
      </c>
      <c r="C336" t="s">
        <v>35</v>
      </c>
      <c r="D336">
        <v>34912.329387523801</v>
      </c>
      <c r="E336" s="9">
        <v>45896</v>
      </c>
      <c r="F336" t="s">
        <v>1214</v>
      </c>
      <c r="G336" t="s">
        <v>163</v>
      </c>
      <c r="H336" t="s">
        <v>74</v>
      </c>
      <c r="I336" t="s">
        <v>75</v>
      </c>
      <c r="J336" t="s">
        <v>40</v>
      </c>
      <c r="K336" t="s">
        <v>1215</v>
      </c>
      <c r="L336" t="s">
        <v>120</v>
      </c>
      <c r="M336">
        <v>3019.84089839228</v>
      </c>
      <c r="N336">
        <v>0</v>
      </c>
      <c r="O336" t="s">
        <v>30</v>
      </c>
      <c r="P336">
        <v>4</v>
      </c>
      <c r="R336" t="s">
        <v>102</v>
      </c>
      <c r="S336">
        <v>24.695473668367601</v>
      </c>
      <c r="T336">
        <v>4.0951532149479801</v>
      </c>
    </row>
    <row r="337" spans="1:20">
      <c r="A337" t="s">
        <v>1216</v>
      </c>
      <c r="B337" t="s">
        <v>1217</v>
      </c>
      <c r="C337" t="s">
        <v>85</v>
      </c>
      <c r="D337">
        <v>36232.756130729598</v>
      </c>
      <c r="E337" s="9">
        <v>45897</v>
      </c>
      <c r="F337" t="s">
        <v>1218</v>
      </c>
      <c r="G337" t="s">
        <v>37</v>
      </c>
      <c r="H337" t="s">
        <v>74</v>
      </c>
      <c r="I337" t="s">
        <v>39</v>
      </c>
      <c r="J337" t="s">
        <v>27</v>
      </c>
      <c r="K337" t="s">
        <v>784</v>
      </c>
      <c r="L337" t="s">
        <v>29</v>
      </c>
      <c r="M337">
        <v>2069.0535621110398</v>
      </c>
      <c r="N337">
        <v>438.56023383114399</v>
      </c>
      <c r="O337" t="s">
        <v>101</v>
      </c>
      <c r="P337">
        <v>4</v>
      </c>
      <c r="Q337" t="s">
        <v>44</v>
      </c>
      <c r="R337" t="s">
        <v>45</v>
      </c>
      <c r="S337">
        <v>7.8510623187066999</v>
      </c>
      <c r="T337">
        <v>43.346369973312399</v>
      </c>
    </row>
    <row r="338" spans="1:20">
      <c r="A338" t="s">
        <v>1219</v>
      </c>
      <c r="B338" t="s">
        <v>139</v>
      </c>
      <c r="C338" t="s">
        <v>22</v>
      </c>
      <c r="D338">
        <v>37505.849977228499</v>
      </c>
      <c r="E338" s="9">
        <v>45898</v>
      </c>
      <c r="F338" t="s">
        <v>1220</v>
      </c>
      <c r="G338" t="s">
        <v>37</v>
      </c>
      <c r="H338" t="s">
        <v>69</v>
      </c>
      <c r="I338" t="s">
        <v>26</v>
      </c>
      <c r="J338" t="s">
        <v>27</v>
      </c>
      <c r="K338" t="s">
        <v>1221</v>
      </c>
      <c r="L338" t="s">
        <v>81</v>
      </c>
      <c r="M338">
        <v>3079.4422232993002</v>
      </c>
      <c r="N338">
        <v>0</v>
      </c>
      <c r="O338" t="s">
        <v>101</v>
      </c>
      <c r="P338">
        <v>4</v>
      </c>
      <c r="Q338" t="s">
        <v>55</v>
      </c>
      <c r="R338" t="s">
        <v>64</v>
      </c>
      <c r="S338">
        <v>-14.7139448202828</v>
      </c>
      <c r="T338">
        <v>71.899075685323297</v>
      </c>
    </row>
    <row r="339" spans="1:20">
      <c r="A339" t="s">
        <v>1222</v>
      </c>
      <c r="B339" t="s">
        <v>721</v>
      </c>
      <c r="C339" t="s">
        <v>48</v>
      </c>
      <c r="D339">
        <v>49314.224093754099</v>
      </c>
      <c r="E339" s="9">
        <v>45898</v>
      </c>
      <c r="F339" t="s">
        <v>1223</v>
      </c>
      <c r="G339" t="s">
        <v>24</v>
      </c>
      <c r="H339" t="s">
        <v>38</v>
      </c>
      <c r="I339" t="s">
        <v>99</v>
      </c>
      <c r="J339" t="s">
        <v>60</v>
      </c>
      <c r="K339" t="s">
        <v>1199</v>
      </c>
      <c r="L339" t="s">
        <v>42</v>
      </c>
      <c r="M339">
        <v>2412.1403931189102</v>
      </c>
      <c r="N339">
        <v>0</v>
      </c>
      <c r="O339" t="s">
        <v>101</v>
      </c>
      <c r="P339">
        <v>2</v>
      </c>
      <c r="R339" t="s">
        <v>102</v>
      </c>
      <c r="S339">
        <v>9.1561209129264007</v>
      </c>
      <c r="T339">
        <v>52.2730678056855</v>
      </c>
    </row>
    <row r="340" spans="1:20">
      <c r="A340" t="s">
        <v>1224</v>
      </c>
      <c r="B340" t="s">
        <v>97</v>
      </c>
      <c r="C340" t="s">
        <v>22</v>
      </c>
      <c r="D340">
        <v>17029.635170219899</v>
      </c>
      <c r="E340" s="9">
        <v>45899</v>
      </c>
      <c r="F340" t="s">
        <v>1225</v>
      </c>
      <c r="G340" t="s">
        <v>37</v>
      </c>
      <c r="H340" t="s">
        <v>93</v>
      </c>
      <c r="I340" t="s">
        <v>51</v>
      </c>
      <c r="J340" t="s">
        <v>87</v>
      </c>
      <c r="K340" t="s">
        <v>1226</v>
      </c>
      <c r="L340" t="s">
        <v>81</v>
      </c>
      <c r="M340">
        <v>1604.51684424624</v>
      </c>
      <c r="N340">
        <v>487.21965531923797</v>
      </c>
      <c r="O340" t="s">
        <v>43</v>
      </c>
      <c r="P340">
        <v>0</v>
      </c>
      <c r="Q340" t="s">
        <v>63</v>
      </c>
      <c r="R340" t="s">
        <v>32</v>
      </c>
      <c r="S340">
        <v>24.7092956182046</v>
      </c>
      <c r="T340">
        <v>4.8324408855396896</v>
      </c>
    </row>
    <row r="341" spans="1:20">
      <c r="A341" t="s">
        <v>1227</v>
      </c>
      <c r="B341" t="s">
        <v>391</v>
      </c>
      <c r="C341" t="s">
        <v>48</v>
      </c>
      <c r="D341">
        <v>37098.899465838404</v>
      </c>
      <c r="E341" s="9">
        <v>45899</v>
      </c>
      <c r="F341" t="s">
        <v>1228</v>
      </c>
      <c r="G341" t="s">
        <v>141</v>
      </c>
      <c r="H341" t="s">
        <v>25</v>
      </c>
      <c r="I341" t="s">
        <v>26</v>
      </c>
      <c r="J341" t="s">
        <v>60</v>
      </c>
      <c r="K341" t="s">
        <v>1229</v>
      </c>
      <c r="L341" t="s">
        <v>29</v>
      </c>
      <c r="M341">
        <v>3603.7668201534998</v>
      </c>
      <c r="N341">
        <v>17.188429175862598</v>
      </c>
      <c r="O341" t="s">
        <v>54</v>
      </c>
      <c r="P341">
        <v>2</v>
      </c>
      <c r="R341" t="s">
        <v>82</v>
      </c>
      <c r="S341">
        <v>-29.6760874689794</v>
      </c>
      <c r="T341">
        <v>45.950226657031699</v>
      </c>
    </row>
    <row r="342" spans="1:20">
      <c r="A342" t="s">
        <v>1230</v>
      </c>
      <c r="B342" t="s">
        <v>1231</v>
      </c>
      <c r="C342" t="s">
        <v>48</v>
      </c>
      <c r="D342">
        <v>7933.18636753807</v>
      </c>
      <c r="E342" s="9">
        <v>45900</v>
      </c>
      <c r="F342" t="s">
        <v>1232</v>
      </c>
      <c r="H342" t="s">
        <v>93</v>
      </c>
      <c r="I342" t="s">
        <v>99</v>
      </c>
      <c r="J342" t="s">
        <v>173</v>
      </c>
      <c r="K342" t="s">
        <v>1233</v>
      </c>
      <c r="L342" t="s">
        <v>42</v>
      </c>
      <c r="M342">
        <v>4111.7330893158096</v>
      </c>
      <c r="N342">
        <v>0</v>
      </c>
      <c r="O342" t="s">
        <v>43</v>
      </c>
      <c r="P342">
        <v>4</v>
      </c>
      <c r="Q342" t="s">
        <v>95</v>
      </c>
      <c r="R342" t="s">
        <v>45</v>
      </c>
      <c r="S342">
        <v>19.071039804889899</v>
      </c>
      <c r="T342">
        <v>17.461091698226198</v>
      </c>
    </row>
    <row r="343" spans="1:20">
      <c r="A343" t="s">
        <v>1234</v>
      </c>
      <c r="B343" t="s">
        <v>409</v>
      </c>
      <c r="C343" t="s">
        <v>48</v>
      </c>
      <c r="D343">
        <v>216.735592226335</v>
      </c>
      <c r="E343" s="9">
        <v>45900</v>
      </c>
      <c r="F343" t="s">
        <v>1235</v>
      </c>
      <c r="G343" t="s">
        <v>24</v>
      </c>
      <c r="H343" t="s">
        <v>93</v>
      </c>
      <c r="I343" t="s">
        <v>75</v>
      </c>
      <c r="J343" t="s">
        <v>173</v>
      </c>
      <c r="K343" t="s">
        <v>1236</v>
      </c>
      <c r="L343" t="s">
        <v>53</v>
      </c>
      <c r="M343">
        <v>2437.2563004036401</v>
      </c>
      <c r="N343">
        <v>335.38251272151803</v>
      </c>
      <c r="O343" t="s">
        <v>43</v>
      </c>
      <c r="P343">
        <v>0</v>
      </c>
      <c r="Q343" t="s">
        <v>31</v>
      </c>
      <c r="R343" t="s">
        <v>32</v>
      </c>
      <c r="S343">
        <v>-15.694369262791</v>
      </c>
      <c r="T343">
        <v>27.138818823676498</v>
      </c>
    </row>
    <row r="344" spans="1:20">
      <c r="A344" t="s">
        <v>1237</v>
      </c>
      <c r="B344" t="s">
        <v>813</v>
      </c>
      <c r="C344" t="s">
        <v>48</v>
      </c>
      <c r="D344">
        <v>26530.117764888499</v>
      </c>
      <c r="E344" s="9">
        <v>45900</v>
      </c>
      <c r="F344" t="s">
        <v>1238</v>
      </c>
      <c r="G344" t="s">
        <v>92</v>
      </c>
      <c r="H344" t="s">
        <v>74</v>
      </c>
      <c r="I344" t="s">
        <v>99</v>
      </c>
      <c r="J344" t="s">
        <v>40</v>
      </c>
      <c r="K344" t="s">
        <v>1239</v>
      </c>
      <c r="L344" t="s">
        <v>42</v>
      </c>
      <c r="M344">
        <v>316.22072267802099</v>
      </c>
      <c r="N344">
        <v>0</v>
      </c>
      <c r="O344" t="s">
        <v>54</v>
      </c>
      <c r="P344">
        <v>2</v>
      </c>
      <c r="Q344" t="s">
        <v>44</v>
      </c>
      <c r="R344" t="s">
        <v>102</v>
      </c>
      <c r="S344">
        <v>-13.697548868754399</v>
      </c>
      <c r="T344">
        <v>55.985538003447701</v>
      </c>
    </row>
    <row r="345" spans="1:20">
      <c r="A345" t="s">
        <v>1240</v>
      </c>
      <c r="B345" t="s">
        <v>1241</v>
      </c>
      <c r="C345" t="s">
        <v>85</v>
      </c>
      <c r="D345">
        <v>38572.197684220402</v>
      </c>
      <c r="E345" s="9">
        <v>45900</v>
      </c>
      <c r="F345" t="s">
        <v>1242</v>
      </c>
      <c r="G345" t="s">
        <v>172</v>
      </c>
      <c r="H345" t="s">
        <v>69</v>
      </c>
      <c r="I345" t="s">
        <v>75</v>
      </c>
      <c r="J345" t="s">
        <v>40</v>
      </c>
      <c r="K345" t="s">
        <v>1243</v>
      </c>
      <c r="L345" t="s">
        <v>29</v>
      </c>
      <c r="M345">
        <v>2940.4004818426201</v>
      </c>
      <c r="N345">
        <v>327.75498592305598</v>
      </c>
      <c r="O345" t="s">
        <v>54</v>
      </c>
      <c r="P345">
        <v>2</v>
      </c>
      <c r="Q345" t="s">
        <v>55</v>
      </c>
      <c r="R345" t="s">
        <v>102</v>
      </c>
      <c r="S345">
        <v>14.901650005717199</v>
      </c>
      <c r="T345">
        <v>27.200257373098999</v>
      </c>
    </row>
    <row r="346" spans="1:20">
      <c r="A346" t="s">
        <v>1244</v>
      </c>
      <c r="B346" t="s">
        <v>717</v>
      </c>
      <c r="C346" t="s">
        <v>48</v>
      </c>
      <c r="D346">
        <v>27417.570714265701</v>
      </c>
      <c r="E346" s="9">
        <v>45902</v>
      </c>
      <c r="F346" t="s">
        <v>1245</v>
      </c>
      <c r="G346" t="s">
        <v>37</v>
      </c>
      <c r="H346" t="s">
        <v>93</v>
      </c>
      <c r="I346" t="s">
        <v>51</v>
      </c>
      <c r="J346" t="s">
        <v>40</v>
      </c>
      <c r="K346" t="s">
        <v>1246</v>
      </c>
      <c r="L346" t="s">
        <v>29</v>
      </c>
      <c r="M346">
        <v>3950.45216127511</v>
      </c>
      <c r="N346">
        <v>0</v>
      </c>
      <c r="O346" t="s">
        <v>43</v>
      </c>
      <c r="P346">
        <v>4</v>
      </c>
      <c r="Q346" t="s">
        <v>44</v>
      </c>
      <c r="R346" t="s">
        <v>45</v>
      </c>
      <c r="S346">
        <v>15.939140202311</v>
      </c>
      <c r="T346">
        <v>37.2876509202178</v>
      </c>
    </row>
    <row r="347" spans="1:20">
      <c r="A347" t="s">
        <v>1247</v>
      </c>
      <c r="B347" t="s">
        <v>428</v>
      </c>
      <c r="C347" t="s">
        <v>48</v>
      </c>
      <c r="D347">
        <v>362.16554606340702</v>
      </c>
      <c r="E347" s="9">
        <v>45903</v>
      </c>
      <c r="F347" t="s">
        <v>1248</v>
      </c>
      <c r="G347" t="s">
        <v>163</v>
      </c>
      <c r="H347" t="s">
        <v>25</v>
      </c>
      <c r="I347" t="s">
        <v>51</v>
      </c>
      <c r="J347" t="s">
        <v>27</v>
      </c>
      <c r="K347" t="s">
        <v>1249</v>
      </c>
      <c r="L347" t="s">
        <v>42</v>
      </c>
      <c r="M347">
        <v>914.21976367357297</v>
      </c>
      <c r="N347">
        <v>0</v>
      </c>
      <c r="O347" t="s">
        <v>54</v>
      </c>
      <c r="P347">
        <v>1</v>
      </c>
      <c r="R347" t="s">
        <v>133</v>
      </c>
      <c r="S347">
        <v>6.2246573137953902</v>
      </c>
      <c r="T347">
        <v>71.098794146368306</v>
      </c>
    </row>
    <row r="348" spans="1:20">
      <c r="A348" t="s">
        <v>1250</v>
      </c>
      <c r="B348" t="s">
        <v>312</v>
      </c>
      <c r="C348" t="s">
        <v>85</v>
      </c>
      <c r="D348">
        <v>32004.1317130147</v>
      </c>
      <c r="E348" s="9">
        <v>45904</v>
      </c>
      <c r="F348" t="s">
        <v>1251</v>
      </c>
      <c r="H348" t="s">
        <v>69</v>
      </c>
      <c r="I348" t="s">
        <v>51</v>
      </c>
      <c r="J348" t="s">
        <v>60</v>
      </c>
      <c r="K348" t="s">
        <v>1252</v>
      </c>
      <c r="L348" t="s">
        <v>53</v>
      </c>
      <c r="M348">
        <v>4611.4912899417204</v>
      </c>
      <c r="N348">
        <v>34.0186570458348</v>
      </c>
      <c r="O348" t="s">
        <v>43</v>
      </c>
      <c r="P348">
        <v>1</v>
      </c>
      <c r="Q348" t="s">
        <v>44</v>
      </c>
      <c r="R348" t="s">
        <v>64</v>
      </c>
      <c r="S348">
        <v>-11.3377999643798</v>
      </c>
      <c r="T348">
        <v>63.854372740191302</v>
      </c>
    </row>
    <row r="349" spans="1:20">
      <c r="A349" t="s">
        <v>1253</v>
      </c>
      <c r="B349" t="s">
        <v>1254</v>
      </c>
      <c r="C349" t="s">
        <v>22</v>
      </c>
      <c r="D349">
        <v>20485.062817502301</v>
      </c>
      <c r="E349" s="9">
        <v>45906</v>
      </c>
      <c r="F349" t="s">
        <v>1255</v>
      </c>
      <c r="G349" t="s">
        <v>59</v>
      </c>
      <c r="H349" t="s">
        <v>74</v>
      </c>
      <c r="I349" t="s">
        <v>99</v>
      </c>
      <c r="J349" t="s">
        <v>60</v>
      </c>
      <c r="K349" t="s">
        <v>1256</v>
      </c>
      <c r="L349" t="s">
        <v>29</v>
      </c>
      <c r="M349">
        <v>236.60373832852099</v>
      </c>
      <c r="N349">
        <v>0</v>
      </c>
      <c r="O349" t="s">
        <v>30</v>
      </c>
      <c r="P349">
        <v>4</v>
      </c>
      <c r="Q349" t="s">
        <v>63</v>
      </c>
      <c r="R349" t="s">
        <v>32</v>
      </c>
      <c r="S349">
        <v>-28.215824322323801</v>
      </c>
      <c r="T349">
        <v>92.374313126664902</v>
      </c>
    </row>
    <row r="350" spans="1:20">
      <c r="A350" t="s">
        <v>1257</v>
      </c>
      <c r="B350" t="s">
        <v>528</v>
      </c>
      <c r="C350" t="s">
        <v>22</v>
      </c>
      <c r="D350">
        <v>17284.7482290072</v>
      </c>
      <c r="E350" s="9">
        <v>45907</v>
      </c>
      <c r="F350" t="s">
        <v>1258</v>
      </c>
      <c r="G350" t="s">
        <v>163</v>
      </c>
      <c r="H350" t="s">
        <v>38</v>
      </c>
      <c r="I350" t="s">
        <v>39</v>
      </c>
      <c r="J350" t="s">
        <v>40</v>
      </c>
      <c r="K350" t="s">
        <v>1259</v>
      </c>
      <c r="L350" t="s">
        <v>120</v>
      </c>
      <c r="M350">
        <v>3496.15262899039</v>
      </c>
      <c r="N350">
        <v>0</v>
      </c>
      <c r="O350" t="s">
        <v>43</v>
      </c>
      <c r="P350">
        <v>2</v>
      </c>
      <c r="Q350" t="s">
        <v>63</v>
      </c>
      <c r="R350" t="s">
        <v>32</v>
      </c>
      <c r="S350">
        <v>19.846043315685598</v>
      </c>
      <c r="T350">
        <v>53.3478475906293</v>
      </c>
    </row>
    <row r="351" spans="1:20">
      <c r="A351" t="s">
        <v>1260</v>
      </c>
      <c r="B351" t="s">
        <v>1261</v>
      </c>
      <c r="C351" t="s">
        <v>48</v>
      </c>
      <c r="D351">
        <v>37503.957168806002</v>
      </c>
      <c r="E351" s="9">
        <v>45907</v>
      </c>
      <c r="F351" t="s">
        <v>1262</v>
      </c>
      <c r="G351" t="s">
        <v>59</v>
      </c>
      <c r="H351" t="s">
        <v>38</v>
      </c>
      <c r="I351" t="s">
        <v>39</v>
      </c>
      <c r="J351" t="s">
        <v>40</v>
      </c>
      <c r="K351" t="s">
        <v>1263</v>
      </c>
      <c r="L351" t="s">
        <v>53</v>
      </c>
      <c r="M351">
        <v>707.99381140451396</v>
      </c>
      <c r="N351">
        <v>0</v>
      </c>
      <c r="O351" t="s">
        <v>62</v>
      </c>
      <c r="P351">
        <v>3</v>
      </c>
      <c r="Q351" t="s">
        <v>44</v>
      </c>
      <c r="R351" t="s">
        <v>82</v>
      </c>
      <c r="S351">
        <v>25.269764201672899</v>
      </c>
      <c r="T351">
        <v>93.253608580222405</v>
      </c>
    </row>
    <row r="352" spans="1:20">
      <c r="A352" t="s">
        <v>1264</v>
      </c>
      <c r="B352" t="s">
        <v>685</v>
      </c>
      <c r="C352" t="s">
        <v>48</v>
      </c>
      <c r="D352">
        <v>28332.2533363314</v>
      </c>
      <c r="E352" s="9">
        <v>45908</v>
      </c>
      <c r="F352" t="s">
        <v>1265</v>
      </c>
      <c r="G352" t="s">
        <v>163</v>
      </c>
      <c r="H352" t="s">
        <v>25</v>
      </c>
      <c r="I352" t="s">
        <v>39</v>
      </c>
      <c r="J352" t="s">
        <v>27</v>
      </c>
      <c r="K352" t="s">
        <v>1266</v>
      </c>
      <c r="L352" t="s">
        <v>29</v>
      </c>
      <c r="M352">
        <v>3002.3480753970198</v>
      </c>
      <c r="N352">
        <v>0</v>
      </c>
      <c r="O352" t="s">
        <v>30</v>
      </c>
      <c r="P352">
        <v>0</v>
      </c>
      <c r="Q352" t="s">
        <v>95</v>
      </c>
      <c r="R352" t="s">
        <v>102</v>
      </c>
      <c r="S352">
        <v>-21.5900739970362</v>
      </c>
      <c r="T352">
        <v>41.080900100968101</v>
      </c>
    </row>
    <row r="353" spans="1:20">
      <c r="A353" t="s">
        <v>1267</v>
      </c>
      <c r="B353" t="s">
        <v>360</v>
      </c>
      <c r="C353" t="s">
        <v>35</v>
      </c>
      <c r="D353">
        <v>39254.946370821097</v>
      </c>
      <c r="E353" s="9">
        <v>45908</v>
      </c>
      <c r="F353" t="s">
        <v>1268</v>
      </c>
      <c r="G353" t="s">
        <v>172</v>
      </c>
      <c r="H353" t="s">
        <v>93</v>
      </c>
      <c r="I353" t="s">
        <v>51</v>
      </c>
      <c r="J353" t="s">
        <v>27</v>
      </c>
      <c r="K353" t="s">
        <v>1269</v>
      </c>
      <c r="L353" t="s">
        <v>53</v>
      </c>
      <c r="M353">
        <v>2640.86556608399</v>
      </c>
      <c r="N353">
        <v>0</v>
      </c>
      <c r="O353" t="s">
        <v>62</v>
      </c>
      <c r="P353">
        <v>1</v>
      </c>
      <c r="Q353" t="s">
        <v>63</v>
      </c>
      <c r="R353" t="s">
        <v>102</v>
      </c>
      <c r="S353">
        <v>17.260610420145301</v>
      </c>
      <c r="T353">
        <v>3.9078686001955201</v>
      </c>
    </row>
    <row r="354" spans="1:20">
      <c r="A354" t="s">
        <v>1270</v>
      </c>
      <c r="B354" t="s">
        <v>135</v>
      </c>
      <c r="C354" t="s">
        <v>85</v>
      </c>
      <c r="D354">
        <v>27039.045791930599</v>
      </c>
      <c r="E354" s="9">
        <v>45908</v>
      </c>
      <c r="F354" t="s">
        <v>1271</v>
      </c>
      <c r="G354" t="s">
        <v>24</v>
      </c>
      <c r="H354" t="s">
        <v>25</v>
      </c>
      <c r="I354" t="s">
        <v>39</v>
      </c>
      <c r="J354" t="s">
        <v>40</v>
      </c>
      <c r="K354" t="s">
        <v>1272</v>
      </c>
      <c r="L354" t="s">
        <v>120</v>
      </c>
      <c r="M354">
        <v>2537.2049663256898</v>
      </c>
      <c r="N354">
        <v>0</v>
      </c>
      <c r="O354" t="s">
        <v>62</v>
      </c>
      <c r="P354">
        <v>4</v>
      </c>
      <c r="Q354" t="s">
        <v>95</v>
      </c>
      <c r="R354" t="s">
        <v>82</v>
      </c>
      <c r="S354">
        <v>3.2206700123659999</v>
      </c>
      <c r="T354">
        <v>12.5524181227876</v>
      </c>
    </row>
    <row r="355" spans="1:20">
      <c r="A355" t="s">
        <v>1273</v>
      </c>
      <c r="B355" t="s">
        <v>1153</v>
      </c>
      <c r="C355" t="s">
        <v>35</v>
      </c>
      <c r="D355">
        <v>42555.794140023703</v>
      </c>
      <c r="E355" s="9">
        <v>45908</v>
      </c>
      <c r="F355" t="s">
        <v>1274</v>
      </c>
      <c r="G355" t="s">
        <v>92</v>
      </c>
      <c r="H355" t="s">
        <v>93</v>
      </c>
      <c r="I355" t="s">
        <v>99</v>
      </c>
      <c r="J355" t="s">
        <v>60</v>
      </c>
      <c r="K355" t="s">
        <v>1275</v>
      </c>
      <c r="L355" t="s">
        <v>155</v>
      </c>
      <c r="M355">
        <v>4273.5502225257296</v>
      </c>
      <c r="N355">
        <v>0</v>
      </c>
      <c r="O355" t="s">
        <v>62</v>
      </c>
      <c r="P355">
        <v>3</v>
      </c>
      <c r="Q355" t="s">
        <v>95</v>
      </c>
      <c r="R355" t="s">
        <v>32</v>
      </c>
      <c r="S355">
        <v>28.078187806197299</v>
      </c>
      <c r="T355">
        <v>56.703278350122801</v>
      </c>
    </row>
    <row r="356" spans="1:20">
      <c r="A356" t="s">
        <v>1276</v>
      </c>
      <c r="B356" t="s">
        <v>440</v>
      </c>
      <c r="C356" t="s">
        <v>85</v>
      </c>
      <c r="D356">
        <v>6228.2580141021199</v>
      </c>
      <c r="E356" s="9">
        <v>45914</v>
      </c>
      <c r="F356" t="s">
        <v>1277</v>
      </c>
      <c r="G356" t="s">
        <v>172</v>
      </c>
      <c r="H356" t="s">
        <v>25</v>
      </c>
      <c r="I356" t="s">
        <v>75</v>
      </c>
      <c r="J356" t="s">
        <v>40</v>
      </c>
      <c r="K356" t="s">
        <v>1278</v>
      </c>
      <c r="L356" t="s">
        <v>155</v>
      </c>
      <c r="M356">
        <v>2565.3015073927099</v>
      </c>
      <c r="N356">
        <v>0</v>
      </c>
      <c r="O356" t="s">
        <v>30</v>
      </c>
      <c r="P356">
        <v>1</v>
      </c>
      <c r="Q356" t="s">
        <v>55</v>
      </c>
      <c r="R356" t="s">
        <v>133</v>
      </c>
      <c r="S356">
        <v>13.900775927248899</v>
      </c>
      <c r="T356">
        <v>37.464921901482903</v>
      </c>
    </row>
    <row r="357" spans="1:20">
      <c r="A357" t="s">
        <v>1279</v>
      </c>
      <c r="B357" t="s">
        <v>1280</v>
      </c>
      <c r="C357" t="s">
        <v>48</v>
      </c>
      <c r="D357">
        <v>41414.250270156801</v>
      </c>
      <c r="E357" s="9">
        <v>45915</v>
      </c>
      <c r="F357" t="s">
        <v>1281</v>
      </c>
      <c r="G357" t="s">
        <v>141</v>
      </c>
      <c r="H357" t="s">
        <v>74</v>
      </c>
      <c r="I357" t="s">
        <v>39</v>
      </c>
      <c r="J357" t="s">
        <v>173</v>
      </c>
      <c r="K357" t="s">
        <v>1282</v>
      </c>
      <c r="L357" t="s">
        <v>29</v>
      </c>
      <c r="M357">
        <v>1372.02128690885</v>
      </c>
      <c r="N357">
        <v>0</v>
      </c>
      <c r="O357" t="s">
        <v>54</v>
      </c>
      <c r="P357">
        <v>1</v>
      </c>
      <c r="Q357" t="s">
        <v>95</v>
      </c>
      <c r="R357" t="s">
        <v>32</v>
      </c>
      <c r="S357">
        <v>22.8602450888825</v>
      </c>
      <c r="T357">
        <v>63.845507065214399</v>
      </c>
    </row>
    <row r="358" spans="1:20">
      <c r="A358" t="s">
        <v>1283</v>
      </c>
      <c r="B358" t="s">
        <v>345</v>
      </c>
      <c r="C358" t="s">
        <v>48</v>
      </c>
      <c r="D358">
        <v>26875.8732347679</v>
      </c>
      <c r="E358" s="9">
        <v>45916</v>
      </c>
      <c r="F358" t="s">
        <v>1284</v>
      </c>
      <c r="G358" t="s">
        <v>68</v>
      </c>
      <c r="H358" t="s">
        <v>93</v>
      </c>
      <c r="I358" t="s">
        <v>99</v>
      </c>
      <c r="J358" t="s">
        <v>27</v>
      </c>
      <c r="K358" t="s">
        <v>1285</v>
      </c>
      <c r="L358" t="s">
        <v>42</v>
      </c>
      <c r="M358">
        <v>3975.6619904347499</v>
      </c>
      <c r="N358">
        <v>0</v>
      </c>
      <c r="O358" t="s">
        <v>62</v>
      </c>
      <c r="P358">
        <v>3</v>
      </c>
      <c r="Q358" t="s">
        <v>44</v>
      </c>
      <c r="R358" t="s">
        <v>32</v>
      </c>
      <c r="S358">
        <v>-2.6340284002445</v>
      </c>
      <c r="T358">
        <v>29.158812816115699</v>
      </c>
    </row>
    <row r="359" spans="1:20">
      <c r="A359" t="s">
        <v>1286</v>
      </c>
      <c r="B359" t="s">
        <v>1116</v>
      </c>
      <c r="C359" t="s">
        <v>85</v>
      </c>
      <c r="D359">
        <v>6524.5450751522303</v>
      </c>
      <c r="E359" s="9">
        <v>45917</v>
      </c>
      <c r="F359" t="s">
        <v>1287</v>
      </c>
      <c r="G359" t="s">
        <v>59</v>
      </c>
      <c r="H359" t="s">
        <v>74</v>
      </c>
      <c r="I359" t="s">
        <v>99</v>
      </c>
      <c r="J359" t="s">
        <v>27</v>
      </c>
      <c r="K359" t="s">
        <v>1288</v>
      </c>
      <c r="L359" t="s">
        <v>120</v>
      </c>
      <c r="M359">
        <v>3209.8353582311402</v>
      </c>
      <c r="N359">
        <v>0</v>
      </c>
      <c r="O359" t="s">
        <v>54</v>
      </c>
      <c r="P359">
        <v>4</v>
      </c>
      <c r="Q359" t="s">
        <v>44</v>
      </c>
      <c r="R359" t="s">
        <v>133</v>
      </c>
      <c r="S359">
        <v>-3.6895189980617999</v>
      </c>
      <c r="T359">
        <v>31.6598060410569</v>
      </c>
    </row>
    <row r="360" spans="1:20">
      <c r="A360" t="s">
        <v>1289</v>
      </c>
      <c r="B360" t="s">
        <v>961</v>
      </c>
      <c r="C360" t="s">
        <v>48</v>
      </c>
      <c r="D360">
        <v>38021.774905985498</v>
      </c>
      <c r="E360" s="9">
        <v>45918</v>
      </c>
      <c r="F360" t="s">
        <v>1290</v>
      </c>
      <c r="G360" t="s">
        <v>59</v>
      </c>
      <c r="H360" t="s">
        <v>25</v>
      </c>
      <c r="I360" t="s">
        <v>26</v>
      </c>
      <c r="J360" t="s">
        <v>173</v>
      </c>
      <c r="K360" t="s">
        <v>1291</v>
      </c>
      <c r="L360" t="s">
        <v>155</v>
      </c>
      <c r="M360">
        <v>4672.6364170889301</v>
      </c>
      <c r="N360">
        <v>0</v>
      </c>
      <c r="O360" t="s">
        <v>30</v>
      </c>
      <c r="P360">
        <v>0</v>
      </c>
      <c r="Q360" t="s">
        <v>31</v>
      </c>
      <c r="R360" t="s">
        <v>32</v>
      </c>
      <c r="S360">
        <v>28.8868557257478</v>
      </c>
      <c r="T360">
        <v>17.244638897385901</v>
      </c>
    </row>
    <row r="361" spans="1:20">
      <c r="A361" t="s">
        <v>1289</v>
      </c>
      <c r="B361" t="s">
        <v>961</v>
      </c>
      <c r="C361" t="s">
        <v>48</v>
      </c>
      <c r="D361">
        <v>38021.774905985498</v>
      </c>
      <c r="E361" s="9">
        <v>45918</v>
      </c>
      <c r="F361" t="s">
        <v>1290</v>
      </c>
      <c r="G361" t="s">
        <v>59</v>
      </c>
      <c r="H361" t="s">
        <v>25</v>
      </c>
      <c r="I361" t="s">
        <v>26</v>
      </c>
      <c r="J361" t="s">
        <v>173</v>
      </c>
      <c r="K361" t="s">
        <v>1291</v>
      </c>
      <c r="L361" t="s">
        <v>155</v>
      </c>
      <c r="M361">
        <v>4672.6364170889301</v>
      </c>
      <c r="N361">
        <v>0</v>
      </c>
      <c r="O361" t="s">
        <v>30</v>
      </c>
      <c r="P361">
        <v>0</v>
      </c>
      <c r="Q361" t="s">
        <v>31</v>
      </c>
      <c r="R361" t="s">
        <v>32</v>
      </c>
      <c r="S361">
        <v>28.8868557257478</v>
      </c>
      <c r="T361">
        <v>17.244638897385901</v>
      </c>
    </row>
    <row r="362" spans="1:20">
      <c r="A362" t="s">
        <v>1292</v>
      </c>
      <c r="B362" t="s">
        <v>463</v>
      </c>
      <c r="C362" t="s">
        <v>22</v>
      </c>
      <c r="D362">
        <v>46691.222005617703</v>
      </c>
      <c r="E362" s="9">
        <v>45918</v>
      </c>
      <c r="F362" t="s">
        <v>1293</v>
      </c>
      <c r="G362" t="s">
        <v>181</v>
      </c>
      <c r="H362" t="s">
        <v>93</v>
      </c>
      <c r="I362" t="s">
        <v>99</v>
      </c>
      <c r="J362" t="s">
        <v>40</v>
      </c>
      <c r="K362" t="s">
        <v>1294</v>
      </c>
      <c r="L362" t="s">
        <v>29</v>
      </c>
      <c r="M362">
        <v>2673.8091525060699</v>
      </c>
      <c r="N362">
        <v>0</v>
      </c>
      <c r="O362" t="s">
        <v>101</v>
      </c>
      <c r="P362">
        <v>3</v>
      </c>
      <c r="R362" t="s">
        <v>133</v>
      </c>
      <c r="S362">
        <v>-29.320044407730801</v>
      </c>
      <c r="T362">
        <v>63.9775201570422</v>
      </c>
    </row>
    <row r="363" spans="1:20">
      <c r="A363" t="s">
        <v>1295</v>
      </c>
      <c r="B363" t="s">
        <v>589</v>
      </c>
      <c r="C363" t="s">
        <v>35</v>
      </c>
      <c r="D363">
        <v>3889.07717744414</v>
      </c>
      <c r="E363" s="9">
        <v>45919</v>
      </c>
      <c r="F363" t="s">
        <v>1296</v>
      </c>
      <c r="G363" t="s">
        <v>181</v>
      </c>
      <c r="H363" t="s">
        <v>38</v>
      </c>
      <c r="I363" t="s">
        <v>39</v>
      </c>
      <c r="J363" t="s">
        <v>27</v>
      </c>
      <c r="K363" t="s">
        <v>1297</v>
      </c>
      <c r="L363" t="s">
        <v>29</v>
      </c>
      <c r="M363">
        <v>3969.8620527888602</v>
      </c>
      <c r="N363">
        <v>38.484591504008698</v>
      </c>
      <c r="O363" t="s">
        <v>54</v>
      </c>
      <c r="P363">
        <v>3</v>
      </c>
      <c r="Q363" t="s">
        <v>63</v>
      </c>
      <c r="R363" t="s">
        <v>82</v>
      </c>
      <c r="S363">
        <v>27.6800778716884</v>
      </c>
      <c r="T363">
        <v>74.412668571436996</v>
      </c>
    </row>
    <row r="364" spans="1:20">
      <c r="A364" t="s">
        <v>1298</v>
      </c>
      <c r="B364" t="s">
        <v>223</v>
      </c>
      <c r="C364" t="s">
        <v>22</v>
      </c>
      <c r="D364">
        <v>31275.587425058198</v>
      </c>
      <c r="E364" s="9">
        <v>45919</v>
      </c>
      <c r="F364" t="s">
        <v>1299</v>
      </c>
      <c r="G364" t="s">
        <v>24</v>
      </c>
      <c r="I364" t="s">
        <v>51</v>
      </c>
      <c r="J364" t="s">
        <v>40</v>
      </c>
      <c r="K364" t="s">
        <v>1300</v>
      </c>
      <c r="L364" t="s">
        <v>42</v>
      </c>
      <c r="M364">
        <v>2745.7474711182099</v>
      </c>
      <c r="N364">
        <v>0</v>
      </c>
      <c r="O364" t="s">
        <v>54</v>
      </c>
      <c r="P364">
        <v>4</v>
      </c>
      <c r="Q364" t="s">
        <v>95</v>
      </c>
      <c r="R364" t="s">
        <v>45</v>
      </c>
      <c r="S364">
        <v>-27.592522784339401</v>
      </c>
      <c r="T364">
        <v>98.190532228694295</v>
      </c>
    </row>
    <row r="365" spans="1:20">
      <c r="A365" t="s">
        <v>1301</v>
      </c>
      <c r="B365" t="s">
        <v>312</v>
      </c>
      <c r="C365" t="s">
        <v>35</v>
      </c>
      <c r="D365">
        <v>46209.683779460902</v>
      </c>
      <c r="E365" s="9">
        <v>45919</v>
      </c>
      <c r="F365" t="s">
        <v>1302</v>
      </c>
      <c r="G365" t="s">
        <v>68</v>
      </c>
      <c r="H365" t="s">
        <v>106</v>
      </c>
      <c r="I365" t="s">
        <v>75</v>
      </c>
      <c r="J365" t="s">
        <v>173</v>
      </c>
      <c r="K365" t="s">
        <v>1303</v>
      </c>
      <c r="L365" t="s">
        <v>42</v>
      </c>
      <c r="M365">
        <v>4907.1459074045397</v>
      </c>
      <c r="N365">
        <v>0</v>
      </c>
      <c r="O365" t="s">
        <v>43</v>
      </c>
      <c r="P365">
        <v>0</v>
      </c>
      <c r="Q365" t="s">
        <v>55</v>
      </c>
      <c r="R365" t="s">
        <v>45</v>
      </c>
      <c r="S365">
        <v>-6.1335989081376203</v>
      </c>
      <c r="T365">
        <v>26.689928809877198</v>
      </c>
    </row>
    <row r="366" spans="1:20">
      <c r="A366" t="s">
        <v>1304</v>
      </c>
      <c r="B366" t="s">
        <v>850</v>
      </c>
      <c r="C366" t="s">
        <v>22</v>
      </c>
      <c r="D366">
        <v>10055.3956741822</v>
      </c>
      <c r="E366" s="9">
        <v>45919</v>
      </c>
      <c r="F366" t="s">
        <v>1305</v>
      </c>
      <c r="G366" t="s">
        <v>24</v>
      </c>
      <c r="H366" t="s">
        <v>69</v>
      </c>
      <c r="I366" t="s">
        <v>26</v>
      </c>
      <c r="J366" t="s">
        <v>40</v>
      </c>
      <c r="K366" t="s">
        <v>1306</v>
      </c>
      <c r="L366" t="s">
        <v>42</v>
      </c>
      <c r="M366">
        <v>3627.78377307653</v>
      </c>
      <c r="N366">
        <v>284.65249220610099</v>
      </c>
      <c r="O366" t="s">
        <v>30</v>
      </c>
      <c r="P366">
        <v>2</v>
      </c>
      <c r="Q366" t="s">
        <v>95</v>
      </c>
      <c r="R366" t="s">
        <v>133</v>
      </c>
      <c r="S366">
        <v>2.1222523583036601</v>
      </c>
      <c r="T366">
        <v>1.37331880825783</v>
      </c>
    </row>
    <row r="367" spans="1:20">
      <c r="A367" t="s">
        <v>1307</v>
      </c>
      <c r="B367" t="s">
        <v>126</v>
      </c>
      <c r="C367" t="s">
        <v>22</v>
      </c>
      <c r="D367">
        <v>42037.937635823102</v>
      </c>
      <c r="E367" s="9">
        <v>45919</v>
      </c>
      <c r="F367" t="s">
        <v>1308</v>
      </c>
      <c r="G367" t="s">
        <v>59</v>
      </c>
      <c r="H367" t="s">
        <v>93</v>
      </c>
      <c r="I367" t="s">
        <v>39</v>
      </c>
      <c r="J367" t="s">
        <v>40</v>
      </c>
      <c r="K367" t="s">
        <v>1309</v>
      </c>
      <c r="L367" t="s">
        <v>42</v>
      </c>
      <c r="M367">
        <v>2543.2586161747799</v>
      </c>
      <c r="N367">
        <v>0</v>
      </c>
      <c r="O367" t="s">
        <v>43</v>
      </c>
      <c r="P367">
        <v>2</v>
      </c>
      <c r="Q367" t="s">
        <v>55</v>
      </c>
      <c r="R367" t="s">
        <v>102</v>
      </c>
      <c r="S367">
        <v>-6.5948376731871798</v>
      </c>
      <c r="T367">
        <v>57.483903785987501</v>
      </c>
    </row>
    <row r="368" spans="1:20">
      <c r="A368" t="s">
        <v>1310</v>
      </c>
      <c r="B368" t="s">
        <v>1037</v>
      </c>
      <c r="D368">
        <v>17325.088029575702</v>
      </c>
      <c r="E368" s="9">
        <v>45921</v>
      </c>
      <c r="F368" t="s">
        <v>1311</v>
      </c>
      <c r="G368" t="s">
        <v>163</v>
      </c>
      <c r="H368" t="s">
        <v>25</v>
      </c>
      <c r="I368" t="s">
        <v>39</v>
      </c>
      <c r="J368" t="s">
        <v>27</v>
      </c>
      <c r="K368" t="s">
        <v>1312</v>
      </c>
      <c r="L368" t="s">
        <v>53</v>
      </c>
      <c r="M368">
        <v>1967.9589959176899</v>
      </c>
      <c r="N368">
        <v>19.973986643047201</v>
      </c>
      <c r="O368" t="s">
        <v>54</v>
      </c>
      <c r="P368">
        <v>0</v>
      </c>
      <c r="Q368" t="s">
        <v>44</v>
      </c>
      <c r="R368" t="s">
        <v>133</v>
      </c>
      <c r="S368">
        <v>11.890431642894301</v>
      </c>
      <c r="T368">
        <v>93.581562411114604</v>
      </c>
    </row>
    <row r="369" spans="1:20">
      <c r="A369" t="s">
        <v>1313</v>
      </c>
      <c r="B369" t="s">
        <v>1314</v>
      </c>
      <c r="C369" t="s">
        <v>35</v>
      </c>
      <c r="D369">
        <v>20621.630317609899</v>
      </c>
      <c r="E369" s="9">
        <v>45923</v>
      </c>
      <c r="F369" t="s">
        <v>1315</v>
      </c>
      <c r="G369" t="s">
        <v>181</v>
      </c>
      <c r="H369" t="s">
        <v>69</v>
      </c>
      <c r="I369" t="s">
        <v>39</v>
      </c>
      <c r="J369" t="s">
        <v>40</v>
      </c>
      <c r="K369" t="s">
        <v>321</v>
      </c>
      <c r="L369" t="s">
        <v>81</v>
      </c>
      <c r="M369">
        <v>4435.2742777122503</v>
      </c>
      <c r="N369">
        <v>0</v>
      </c>
      <c r="O369" t="s">
        <v>101</v>
      </c>
      <c r="P369">
        <v>0</v>
      </c>
      <c r="Q369" t="s">
        <v>44</v>
      </c>
      <c r="R369" t="s">
        <v>32</v>
      </c>
      <c r="S369">
        <v>-28.833224494827199</v>
      </c>
      <c r="T369">
        <v>62.231663724855203</v>
      </c>
    </row>
    <row r="370" spans="1:20">
      <c r="A370" t="s">
        <v>1316</v>
      </c>
      <c r="B370" t="s">
        <v>192</v>
      </c>
      <c r="C370" t="s">
        <v>85</v>
      </c>
      <c r="D370">
        <v>39843.9416061265</v>
      </c>
      <c r="E370" s="9">
        <v>45923</v>
      </c>
      <c r="F370" t="s">
        <v>1317</v>
      </c>
      <c r="G370" t="s">
        <v>59</v>
      </c>
      <c r="H370" t="s">
        <v>38</v>
      </c>
      <c r="I370" t="s">
        <v>75</v>
      </c>
      <c r="J370" t="s">
        <v>173</v>
      </c>
      <c r="K370" t="s">
        <v>1318</v>
      </c>
      <c r="L370" t="s">
        <v>42</v>
      </c>
      <c r="M370">
        <v>2453.95198340467</v>
      </c>
      <c r="N370">
        <v>0</v>
      </c>
      <c r="O370" t="s">
        <v>101</v>
      </c>
      <c r="P370">
        <v>0</v>
      </c>
      <c r="Q370" t="s">
        <v>31</v>
      </c>
      <c r="R370" t="s">
        <v>102</v>
      </c>
      <c r="S370">
        <v>3.24756980149645</v>
      </c>
      <c r="T370">
        <v>52.731967959986001</v>
      </c>
    </row>
    <row r="371" spans="1:20">
      <c r="A371" t="s">
        <v>1319</v>
      </c>
      <c r="B371" t="s">
        <v>436</v>
      </c>
      <c r="C371" t="s">
        <v>48</v>
      </c>
      <c r="D371">
        <v>3867.6178538140698</v>
      </c>
      <c r="E371" s="9">
        <v>45924</v>
      </c>
      <c r="F371" t="s">
        <v>1320</v>
      </c>
      <c r="G371" t="s">
        <v>50</v>
      </c>
      <c r="H371" t="s">
        <v>69</v>
      </c>
      <c r="I371" t="s">
        <v>51</v>
      </c>
      <c r="J371" t="s">
        <v>27</v>
      </c>
      <c r="K371" t="s">
        <v>1321</v>
      </c>
      <c r="L371" t="s">
        <v>120</v>
      </c>
      <c r="M371">
        <v>2246.6681285066102</v>
      </c>
      <c r="N371">
        <v>498.83613163233002</v>
      </c>
      <c r="O371" t="s">
        <v>62</v>
      </c>
      <c r="P371">
        <v>1</v>
      </c>
      <c r="Q371" t="s">
        <v>31</v>
      </c>
      <c r="R371" t="s">
        <v>32</v>
      </c>
      <c r="S371">
        <v>3.2580423508771501</v>
      </c>
      <c r="T371">
        <v>31.410981908937099</v>
      </c>
    </row>
    <row r="372" spans="1:20">
      <c r="A372" t="s">
        <v>1319</v>
      </c>
      <c r="B372" t="s">
        <v>436</v>
      </c>
      <c r="C372" t="s">
        <v>48</v>
      </c>
      <c r="D372">
        <v>3867.6178538140698</v>
      </c>
      <c r="E372" s="9">
        <v>45924</v>
      </c>
      <c r="F372" t="s">
        <v>1320</v>
      </c>
      <c r="G372" t="s">
        <v>50</v>
      </c>
      <c r="H372" t="s">
        <v>69</v>
      </c>
      <c r="I372" t="s">
        <v>51</v>
      </c>
      <c r="J372" t="s">
        <v>27</v>
      </c>
      <c r="K372" t="s">
        <v>1321</v>
      </c>
      <c r="L372" t="s">
        <v>120</v>
      </c>
      <c r="M372">
        <v>2246.6681285066102</v>
      </c>
      <c r="N372">
        <v>498.83613163233002</v>
      </c>
      <c r="O372" t="s">
        <v>62</v>
      </c>
      <c r="P372">
        <v>1</v>
      </c>
      <c r="Q372" t="s">
        <v>31</v>
      </c>
      <c r="R372" t="s">
        <v>32</v>
      </c>
      <c r="S372">
        <v>3.2580423508771501</v>
      </c>
      <c r="T372">
        <v>31.410981908937099</v>
      </c>
    </row>
    <row r="373" spans="1:20">
      <c r="A373" t="s">
        <v>1322</v>
      </c>
      <c r="B373" t="s">
        <v>1323</v>
      </c>
      <c r="C373" t="s">
        <v>85</v>
      </c>
      <c r="D373">
        <v>24031.146877537099</v>
      </c>
      <c r="E373" s="9">
        <v>45924</v>
      </c>
      <c r="F373" t="s">
        <v>1324</v>
      </c>
      <c r="G373" t="s">
        <v>24</v>
      </c>
      <c r="H373" t="s">
        <v>25</v>
      </c>
      <c r="I373" t="s">
        <v>99</v>
      </c>
      <c r="J373" t="s">
        <v>40</v>
      </c>
      <c r="K373" t="s">
        <v>1325</v>
      </c>
      <c r="L373" t="s">
        <v>120</v>
      </c>
      <c r="M373">
        <v>1315.41351428704</v>
      </c>
      <c r="N373">
        <v>0</v>
      </c>
      <c r="O373" t="s">
        <v>30</v>
      </c>
      <c r="P373">
        <v>2</v>
      </c>
      <c r="Q373" t="s">
        <v>55</v>
      </c>
      <c r="R373" t="s">
        <v>45</v>
      </c>
      <c r="S373">
        <v>-0.55833924438096005</v>
      </c>
      <c r="T373">
        <v>34.021623845533497</v>
      </c>
    </row>
    <row r="374" spans="1:20">
      <c r="A374" t="s">
        <v>1326</v>
      </c>
      <c r="B374" t="s">
        <v>685</v>
      </c>
      <c r="C374" t="s">
        <v>22</v>
      </c>
      <c r="D374">
        <v>15798.3681847896</v>
      </c>
      <c r="E374" s="9">
        <v>45925</v>
      </c>
      <c r="F374" t="s">
        <v>1327</v>
      </c>
      <c r="G374" t="s">
        <v>172</v>
      </c>
      <c r="H374" t="s">
        <v>69</v>
      </c>
      <c r="I374" t="s">
        <v>26</v>
      </c>
      <c r="J374" t="s">
        <v>60</v>
      </c>
      <c r="K374" t="s">
        <v>1328</v>
      </c>
      <c r="L374" t="s">
        <v>120</v>
      </c>
      <c r="M374">
        <v>3573.3008277051999</v>
      </c>
      <c r="N374">
        <v>0</v>
      </c>
      <c r="O374" t="s">
        <v>43</v>
      </c>
      <c r="P374">
        <v>2</v>
      </c>
      <c r="Q374" t="s">
        <v>55</v>
      </c>
      <c r="R374" t="s">
        <v>64</v>
      </c>
      <c r="S374">
        <v>4.3609689514013699</v>
      </c>
      <c r="T374">
        <v>11.2796918866577</v>
      </c>
    </row>
    <row r="375" spans="1:20">
      <c r="A375" t="s">
        <v>1329</v>
      </c>
      <c r="B375" t="s">
        <v>1330</v>
      </c>
      <c r="C375" t="s">
        <v>22</v>
      </c>
      <c r="D375">
        <v>22767.9718137331</v>
      </c>
      <c r="E375" s="9">
        <v>45926</v>
      </c>
      <c r="F375" t="s">
        <v>1331</v>
      </c>
      <c r="G375" t="s">
        <v>68</v>
      </c>
      <c r="H375" t="s">
        <v>38</v>
      </c>
      <c r="I375" t="s">
        <v>39</v>
      </c>
      <c r="J375" t="s">
        <v>27</v>
      </c>
      <c r="K375" t="s">
        <v>1332</v>
      </c>
      <c r="L375" t="s">
        <v>42</v>
      </c>
      <c r="M375">
        <v>584.74333958331704</v>
      </c>
      <c r="N375">
        <v>0</v>
      </c>
      <c r="O375" t="s">
        <v>30</v>
      </c>
      <c r="P375">
        <v>2</v>
      </c>
      <c r="Q375" t="s">
        <v>63</v>
      </c>
      <c r="R375" t="s">
        <v>102</v>
      </c>
      <c r="S375">
        <v>25.498616894102099</v>
      </c>
      <c r="T375">
        <v>55.947525945634602</v>
      </c>
    </row>
    <row r="376" spans="1:20">
      <c r="A376" t="s">
        <v>1333</v>
      </c>
      <c r="B376" t="s">
        <v>949</v>
      </c>
      <c r="C376" t="s">
        <v>48</v>
      </c>
      <c r="D376">
        <v>40271.728909216203</v>
      </c>
      <c r="E376" s="9">
        <v>45926</v>
      </c>
      <c r="F376" t="s">
        <v>1334</v>
      </c>
      <c r="G376" t="s">
        <v>24</v>
      </c>
      <c r="H376" t="s">
        <v>69</v>
      </c>
      <c r="I376" t="s">
        <v>99</v>
      </c>
      <c r="J376" t="s">
        <v>87</v>
      </c>
      <c r="K376" t="s">
        <v>1335</v>
      </c>
      <c r="L376" t="s">
        <v>42</v>
      </c>
      <c r="M376">
        <v>4069.7841744929601</v>
      </c>
      <c r="N376">
        <v>0</v>
      </c>
      <c r="O376" t="s">
        <v>43</v>
      </c>
      <c r="P376">
        <v>0</v>
      </c>
      <c r="Q376" t="s">
        <v>44</v>
      </c>
      <c r="R376" t="s">
        <v>64</v>
      </c>
      <c r="S376">
        <v>-10.3864042166636</v>
      </c>
      <c r="T376">
        <v>5.0596853676581697</v>
      </c>
    </row>
    <row r="377" spans="1:20">
      <c r="A377" t="s">
        <v>1336</v>
      </c>
      <c r="B377" t="s">
        <v>1337</v>
      </c>
      <c r="C377" t="s">
        <v>35</v>
      </c>
      <c r="D377">
        <v>4551.2960027316003</v>
      </c>
      <c r="E377" s="9">
        <v>45926</v>
      </c>
      <c r="F377" t="s">
        <v>1338</v>
      </c>
      <c r="G377" t="s">
        <v>92</v>
      </c>
      <c r="H377" t="s">
        <v>25</v>
      </c>
      <c r="I377" t="s">
        <v>51</v>
      </c>
      <c r="J377" t="s">
        <v>27</v>
      </c>
      <c r="K377" t="s">
        <v>1339</v>
      </c>
      <c r="L377" t="s">
        <v>42</v>
      </c>
      <c r="M377">
        <v>704.825340872639</v>
      </c>
      <c r="N377">
        <v>346.46011461239402</v>
      </c>
      <c r="O377" t="s">
        <v>62</v>
      </c>
      <c r="P377">
        <v>1</v>
      </c>
      <c r="Q377" t="s">
        <v>44</v>
      </c>
      <c r="R377" t="s">
        <v>45</v>
      </c>
      <c r="S377">
        <v>-14.094649874877801</v>
      </c>
      <c r="T377">
        <v>26.4649504998761</v>
      </c>
    </row>
    <row r="378" spans="1:20">
      <c r="A378" t="s">
        <v>1340</v>
      </c>
      <c r="B378" t="s">
        <v>782</v>
      </c>
      <c r="C378" t="s">
        <v>48</v>
      </c>
      <c r="D378">
        <v>5235.5099341328396</v>
      </c>
      <c r="E378" s="9">
        <v>45927</v>
      </c>
      <c r="F378" t="s">
        <v>1341</v>
      </c>
      <c r="G378" t="s">
        <v>181</v>
      </c>
      <c r="H378" t="s">
        <v>74</v>
      </c>
      <c r="I378" t="s">
        <v>75</v>
      </c>
      <c r="J378" t="s">
        <v>173</v>
      </c>
      <c r="K378" t="s">
        <v>1342</v>
      </c>
      <c r="L378" t="s">
        <v>155</v>
      </c>
      <c r="M378">
        <v>738.06091573543495</v>
      </c>
      <c r="N378">
        <v>0</v>
      </c>
      <c r="O378" t="s">
        <v>30</v>
      </c>
      <c r="P378">
        <v>3</v>
      </c>
      <c r="Q378" t="s">
        <v>55</v>
      </c>
      <c r="R378" t="s">
        <v>133</v>
      </c>
      <c r="S378">
        <v>18.804413613880801</v>
      </c>
      <c r="T378">
        <v>85.474061859197903</v>
      </c>
    </row>
    <row r="379" spans="1:20">
      <c r="A379" t="s">
        <v>1343</v>
      </c>
      <c r="B379" t="s">
        <v>1344</v>
      </c>
      <c r="C379" t="s">
        <v>48</v>
      </c>
      <c r="D379">
        <v>19710.173504045099</v>
      </c>
      <c r="E379" s="9">
        <v>45927</v>
      </c>
      <c r="F379" t="s">
        <v>1345</v>
      </c>
      <c r="G379" t="s">
        <v>24</v>
      </c>
      <c r="H379" t="s">
        <v>93</v>
      </c>
      <c r="I379" t="s">
        <v>51</v>
      </c>
      <c r="J379" t="s">
        <v>87</v>
      </c>
      <c r="K379" t="s">
        <v>1346</v>
      </c>
      <c r="L379" t="s">
        <v>81</v>
      </c>
      <c r="M379">
        <v>3210.51948475572</v>
      </c>
      <c r="N379">
        <v>0</v>
      </c>
      <c r="O379" t="s">
        <v>43</v>
      </c>
      <c r="P379">
        <v>0</v>
      </c>
      <c r="Q379" t="s">
        <v>55</v>
      </c>
      <c r="R379" t="s">
        <v>32</v>
      </c>
      <c r="S379">
        <v>22.465020220000699</v>
      </c>
      <c r="T379">
        <v>48.810444710137801</v>
      </c>
    </row>
    <row r="380" spans="1:20">
      <c r="A380" t="s">
        <v>1347</v>
      </c>
      <c r="B380" t="s">
        <v>420</v>
      </c>
      <c r="C380" t="s">
        <v>48</v>
      </c>
      <c r="D380">
        <v>14467.6878621387</v>
      </c>
      <c r="E380" s="9">
        <v>45928</v>
      </c>
      <c r="F380" t="s">
        <v>1348</v>
      </c>
      <c r="G380" t="s">
        <v>24</v>
      </c>
      <c r="H380" t="s">
        <v>93</v>
      </c>
      <c r="I380" t="s">
        <v>51</v>
      </c>
      <c r="J380" t="s">
        <v>173</v>
      </c>
      <c r="K380" t="s">
        <v>1349</v>
      </c>
      <c r="L380" t="s">
        <v>81</v>
      </c>
      <c r="M380">
        <v>4157.6152603505598</v>
      </c>
      <c r="N380">
        <v>0</v>
      </c>
      <c r="O380" t="s">
        <v>30</v>
      </c>
      <c r="P380">
        <v>3</v>
      </c>
      <c r="R380" t="s">
        <v>133</v>
      </c>
      <c r="S380">
        <v>-22.308893382054102</v>
      </c>
      <c r="T380">
        <v>84.245698611841405</v>
      </c>
    </row>
    <row r="381" spans="1:20">
      <c r="A381" t="s">
        <v>1350</v>
      </c>
      <c r="B381" t="s">
        <v>152</v>
      </c>
      <c r="C381" t="s">
        <v>48</v>
      </c>
      <c r="D381">
        <v>37238.057626980102</v>
      </c>
      <c r="E381" s="9">
        <v>45928</v>
      </c>
      <c r="F381" t="s">
        <v>1351</v>
      </c>
      <c r="G381" t="s">
        <v>92</v>
      </c>
      <c r="H381" t="s">
        <v>69</v>
      </c>
      <c r="I381" t="s">
        <v>26</v>
      </c>
      <c r="J381" t="s">
        <v>173</v>
      </c>
      <c r="K381" t="s">
        <v>1352</v>
      </c>
      <c r="L381" t="s">
        <v>53</v>
      </c>
      <c r="M381">
        <v>4138.4075496039904</v>
      </c>
      <c r="N381">
        <v>0</v>
      </c>
      <c r="O381" t="s">
        <v>43</v>
      </c>
      <c r="P381">
        <v>0</v>
      </c>
      <c r="R381" t="s">
        <v>64</v>
      </c>
      <c r="S381">
        <v>-14.218449855433001</v>
      </c>
      <c r="T381">
        <v>87.126468527015703</v>
      </c>
    </row>
    <row r="382" spans="1:20">
      <c r="A382" t="s">
        <v>1353</v>
      </c>
      <c r="B382" t="s">
        <v>1354</v>
      </c>
      <c r="C382" t="s">
        <v>35</v>
      </c>
      <c r="D382">
        <v>14968.176631943301</v>
      </c>
      <c r="E382" s="9">
        <v>45929</v>
      </c>
      <c r="F382" t="s">
        <v>1355</v>
      </c>
      <c r="G382" t="s">
        <v>141</v>
      </c>
      <c r="H382" t="s">
        <v>93</v>
      </c>
      <c r="I382" t="s">
        <v>51</v>
      </c>
      <c r="J382" t="s">
        <v>40</v>
      </c>
      <c r="K382" t="s">
        <v>1356</v>
      </c>
      <c r="L382" t="s">
        <v>42</v>
      </c>
      <c r="M382">
        <v>4071.3340847214499</v>
      </c>
      <c r="N382">
        <v>0</v>
      </c>
      <c r="O382" t="s">
        <v>43</v>
      </c>
      <c r="P382">
        <v>0</v>
      </c>
      <c r="R382" t="s">
        <v>82</v>
      </c>
      <c r="S382">
        <v>-19.6590471513022</v>
      </c>
      <c r="T382">
        <v>11.267352663479</v>
      </c>
    </row>
    <row r="383" spans="1:20">
      <c r="A383" t="s">
        <v>1357</v>
      </c>
      <c r="B383" t="s">
        <v>436</v>
      </c>
      <c r="C383" t="s">
        <v>85</v>
      </c>
      <c r="D383">
        <v>25807.166752100002</v>
      </c>
      <c r="E383" s="9">
        <v>45930</v>
      </c>
      <c r="F383" t="s">
        <v>1358</v>
      </c>
      <c r="G383" t="s">
        <v>59</v>
      </c>
      <c r="H383" t="s">
        <v>38</v>
      </c>
      <c r="I383" t="s">
        <v>26</v>
      </c>
      <c r="J383" t="s">
        <v>60</v>
      </c>
      <c r="K383" t="s">
        <v>1359</v>
      </c>
      <c r="L383" t="s">
        <v>53</v>
      </c>
      <c r="M383">
        <v>2388.95144195695</v>
      </c>
      <c r="N383">
        <v>0</v>
      </c>
      <c r="O383" t="s">
        <v>62</v>
      </c>
      <c r="P383">
        <v>2</v>
      </c>
      <c r="Q383" t="s">
        <v>44</v>
      </c>
      <c r="R383" t="s">
        <v>102</v>
      </c>
      <c r="S383">
        <v>-28.897140613485501</v>
      </c>
      <c r="T383">
        <v>39.910935057472898</v>
      </c>
    </row>
    <row r="384" spans="1:20">
      <c r="A384" t="s">
        <v>1360</v>
      </c>
      <c r="B384" t="s">
        <v>383</v>
      </c>
      <c r="C384" t="s">
        <v>22</v>
      </c>
      <c r="D384">
        <v>29298.961663040998</v>
      </c>
      <c r="E384" s="9">
        <v>45930</v>
      </c>
      <c r="F384" t="s">
        <v>1361</v>
      </c>
      <c r="G384" t="s">
        <v>172</v>
      </c>
      <c r="H384" t="s">
        <v>69</v>
      </c>
      <c r="I384" t="s">
        <v>26</v>
      </c>
      <c r="J384" t="s">
        <v>173</v>
      </c>
      <c r="K384" t="s">
        <v>1362</v>
      </c>
      <c r="L384" t="s">
        <v>53</v>
      </c>
      <c r="M384">
        <v>2585.4628030014101</v>
      </c>
      <c r="N384">
        <v>106.771427245171</v>
      </c>
      <c r="O384" t="s">
        <v>62</v>
      </c>
      <c r="P384">
        <v>3</v>
      </c>
      <c r="R384" t="s">
        <v>32</v>
      </c>
      <c r="S384">
        <v>29.675651233316401</v>
      </c>
      <c r="T384">
        <v>44.435219609749502</v>
      </c>
    </row>
    <row r="385" spans="1:20">
      <c r="A385" t="s">
        <v>1363</v>
      </c>
      <c r="B385" t="s">
        <v>1364</v>
      </c>
      <c r="C385" t="s">
        <v>85</v>
      </c>
      <c r="D385">
        <v>30901.459233654899</v>
      </c>
      <c r="E385" s="9">
        <v>45931</v>
      </c>
      <c r="F385" t="s">
        <v>1365</v>
      </c>
      <c r="G385" t="s">
        <v>163</v>
      </c>
      <c r="H385" t="s">
        <v>106</v>
      </c>
      <c r="I385" t="s">
        <v>75</v>
      </c>
      <c r="J385" t="s">
        <v>173</v>
      </c>
      <c r="K385" t="s">
        <v>1366</v>
      </c>
      <c r="L385" t="s">
        <v>81</v>
      </c>
      <c r="M385">
        <v>3985.5371871503498</v>
      </c>
      <c r="N385">
        <v>0</v>
      </c>
      <c r="O385" t="s">
        <v>62</v>
      </c>
      <c r="P385">
        <v>3</v>
      </c>
      <c r="R385" t="s">
        <v>133</v>
      </c>
      <c r="S385">
        <v>12.060676025702399</v>
      </c>
      <c r="T385">
        <v>96.163125662530703</v>
      </c>
    </row>
    <row r="386" spans="1:20">
      <c r="A386" t="s">
        <v>1367</v>
      </c>
      <c r="B386" t="s">
        <v>1368</v>
      </c>
      <c r="C386" t="s">
        <v>22</v>
      </c>
      <c r="D386">
        <v>19027.354349438901</v>
      </c>
      <c r="E386" s="9">
        <v>45931</v>
      </c>
      <c r="F386" t="s">
        <v>1369</v>
      </c>
      <c r="G386" t="s">
        <v>37</v>
      </c>
      <c r="H386" t="s">
        <v>38</v>
      </c>
      <c r="I386" t="s">
        <v>75</v>
      </c>
      <c r="J386" t="s">
        <v>87</v>
      </c>
      <c r="K386" t="s">
        <v>1370</v>
      </c>
      <c r="L386" t="s">
        <v>120</v>
      </c>
      <c r="M386">
        <v>3741.3024477137001</v>
      </c>
      <c r="N386">
        <v>324.778003378481</v>
      </c>
      <c r="O386" t="s">
        <v>101</v>
      </c>
      <c r="P386">
        <v>1</v>
      </c>
      <c r="Q386" t="s">
        <v>31</v>
      </c>
      <c r="R386" t="s">
        <v>45</v>
      </c>
      <c r="S386">
        <v>-12.099735384750099</v>
      </c>
      <c r="T386">
        <v>61.086008351685003</v>
      </c>
    </row>
    <row r="387" spans="1:20">
      <c r="A387" t="s">
        <v>1371</v>
      </c>
      <c r="B387" t="s">
        <v>207</v>
      </c>
      <c r="C387" t="s">
        <v>35</v>
      </c>
      <c r="D387">
        <v>41844.584183287399</v>
      </c>
      <c r="E387" s="9">
        <v>45931</v>
      </c>
      <c r="F387" t="s">
        <v>1372</v>
      </c>
      <c r="G387" t="s">
        <v>24</v>
      </c>
      <c r="H387" t="s">
        <v>38</v>
      </c>
      <c r="I387" t="s">
        <v>51</v>
      </c>
      <c r="J387" t="s">
        <v>40</v>
      </c>
      <c r="K387" t="s">
        <v>1373</v>
      </c>
      <c r="L387" t="s">
        <v>81</v>
      </c>
      <c r="M387">
        <v>1196.4151725813001</v>
      </c>
      <c r="N387">
        <v>137.54944077956199</v>
      </c>
      <c r="O387" t="s">
        <v>54</v>
      </c>
      <c r="P387">
        <v>3</v>
      </c>
      <c r="R387" t="s">
        <v>64</v>
      </c>
      <c r="S387">
        <v>-11.709709844623999</v>
      </c>
      <c r="T387">
        <v>67.972579600175806</v>
      </c>
    </row>
    <row r="388" spans="1:20">
      <c r="A388" t="s">
        <v>1374</v>
      </c>
      <c r="B388" t="s">
        <v>1375</v>
      </c>
      <c r="C388" t="s">
        <v>85</v>
      </c>
      <c r="D388">
        <v>18948.524777264502</v>
      </c>
      <c r="E388" s="9">
        <v>45934</v>
      </c>
      <c r="F388" t="s">
        <v>1376</v>
      </c>
      <c r="G388" t="s">
        <v>68</v>
      </c>
      <c r="H388" t="s">
        <v>106</v>
      </c>
      <c r="I388" t="s">
        <v>99</v>
      </c>
      <c r="J388" t="s">
        <v>173</v>
      </c>
      <c r="K388" t="s">
        <v>1377</v>
      </c>
      <c r="L388" t="s">
        <v>81</v>
      </c>
      <c r="M388">
        <v>2742.66690086059</v>
      </c>
      <c r="N388">
        <v>367.96020318697401</v>
      </c>
      <c r="O388" t="s">
        <v>62</v>
      </c>
      <c r="P388">
        <v>0</v>
      </c>
      <c r="Q388" t="s">
        <v>44</v>
      </c>
      <c r="R388" t="s">
        <v>102</v>
      </c>
      <c r="S388">
        <v>0.96808828046986795</v>
      </c>
      <c r="T388">
        <v>43.221318758502299</v>
      </c>
    </row>
    <row r="389" spans="1:20">
      <c r="A389" t="s">
        <v>1378</v>
      </c>
      <c r="B389" t="s">
        <v>451</v>
      </c>
      <c r="C389" t="s">
        <v>48</v>
      </c>
      <c r="D389">
        <v>8419.8649236698202</v>
      </c>
      <c r="E389" s="9">
        <v>45935</v>
      </c>
      <c r="F389" t="s">
        <v>1379</v>
      </c>
      <c r="G389" t="s">
        <v>92</v>
      </c>
      <c r="H389" t="s">
        <v>93</v>
      </c>
      <c r="I389" t="s">
        <v>26</v>
      </c>
      <c r="J389" t="s">
        <v>87</v>
      </c>
      <c r="K389" t="s">
        <v>1380</v>
      </c>
      <c r="L389" t="s">
        <v>42</v>
      </c>
      <c r="M389">
        <v>3386.3867976756401</v>
      </c>
      <c r="N389">
        <v>0</v>
      </c>
      <c r="O389" t="s">
        <v>43</v>
      </c>
      <c r="P389">
        <v>3</v>
      </c>
      <c r="Q389" t="s">
        <v>55</v>
      </c>
      <c r="R389" t="s">
        <v>45</v>
      </c>
      <c r="S389">
        <v>-3.4890579313360401</v>
      </c>
      <c r="T389">
        <v>41.521375668433102</v>
      </c>
    </row>
    <row r="390" spans="1:20">
      <c r="A390" t="s">
        <v>1381</v>
      </c>
      <c r="B390" t="s">
        <v>109</v>
      </c>
      <c r="C390" t="s">
        <v>35</v>
      </c>
      <c r="D390">
        <v>11447.041481767899</v>
      </c>
      <c r="E390" s="9">
        <v>45937</v>
      </c>
      <c r="F390" t="s">
        <v>1382</v>
      </c>
      <c r="G390" t="s">
        <v>92</v>
      </c>
      <c r="H390" t="s">
        <v>69</v>
      </c>
      <c r="I390" t="s">
        <v>39</v>
      </c>
      <c r="J390" t="s">
        <v>27</v>
      </c>
      <c r="K390" t="s">
        <v>1383</v>
      </c>
      <c r="L390" t="s">
        <v>120</v>
      </c>
      <c r="M390">
        <v>2278.8982949660499</v>
      </c>
      <c r="N390">
        <v>0</v>
      </c>
      <c r="O390" t="s">
        <v>54</v>
      </c>
      <c r="P390">
        <v>0</v>
      </c>
      <c r="Q390" t="s">
        <v>63</v>
      </c>
      <c r="R390" t="s">
        <v>82</v>
      </c>
      <c r="T390">
        <v>74.915782317653196</v>
      </c>
    </row>
    <row r="391" spans="1:20">
      <c r="A391" t="s">
        <v>1384</v>
      </c>
      <c r="B391" t="s">
        <v>1385</v>
      </c>
      <c r="C391" t="s">
        <v>85</v>
      </c>
      <c r="D391">
        <v>15641.0687758775</v>
      </c>
      <c r="E391" s="9">
        <v>45938</v>
      </c>
      <c r="F391" t="s">
        <v>1386</v>
      </c>
      <c r="G391" t="s">
        <v>141</v>
      </c>
      <c r="H391" t="s">
        <v>74</v>
      </c>
      <c r="I391" t="s">
        <v>39</v>
      </c>
      <c r="J391" t="s">
        <v>173</v>
      </c>
      <c r="K391" t="s">
        <v>1387</v>
      </c>
      <c r="L391" t="s">
        <v>155</v>
      </c>
      <c r="M391">
        <v>3184.6528479665799</v>
      </c>
      <c r="N391">
        <v>53.355909551177099</v>
      </c>
      <c r="O391" t="s">
        <v>43</v>
      </c>
      <c r="P391">
        <v>1</v>
      </c>
      <c r="Q391" t="s">
        <v>63</v>
      </c>
      <c r="R391" t="s">
        <v>102</v>
      </c>
      <c r="S391">
        <v>1.14978237447243</v>
      </c>
      <c r="T391">
        <v>77.648688131566701</v>
      </c>
    </row>
    <row r="392" spans="1:20">
      <c r="A392" t="s">
        <v>1388</v>
      </c>
      <c r="B392" t="s">
        <v>738</v>
      </c>
      <c r="C392" t="s">
        <v>48</v>
      </c>
      <c r="D392">
        <v>49265.773928208699</v>
      </c>
      <c r="E392" s="9">
        <v>45939</v>
      </c>
      <c r="F392" t="s">
        <v>1389</v>
      </c>
      <c r="G392" t="s">
        <v>68</v>
      </c>
      <c r="H392" t="s">
        <v>93</v>
      </c>
      <c r="I392" t="s">
        <v>75</v>
      </c>
      <c r="J392" t="s">
        <v>60</v>
      </c>
      <c r="K392" t="s">
        <v>1390</v>
      </c>
      <c r="L392" t="s">
        <v>120</v>
      </c>
      <c r="M392">
        <v>3692.7938700823402</v>
      </c>
      <c r="N392">
        <v>0</v>
      </c>
      <c r="O392" t="s">
        <v>62</v>
      </c>
      <c r="P392">
        <v>4</v>
      </c>
      <c r="Q392" t="s">
        <v>44</v>
      </c>
      <c r="R392" t="s">
        <v>32</v>
      </c>
      <c r="S392">
        <v>18.336497328858901</v>
      </c>
      <c r="T392">
        <v>41.2096568708115</v>
      </c>
    </row>
    <row r="393" spans="1:20">
      <c r="A393" t="s">
        <v>1391</v>
      </c>
      <c r="B393" t="s">
        <v>953</v>
      </c>
      <c r="C393" t="s">
        <v>48</v>
      </c>
      <c r="D393">
        <v>37943.781455889497</v>
      </c>
      <c r="E393" s="9">
        <v>45939</v>
      </c>
      <c r="F393" t="s">
        <v>1392</v>
      </c>
      <c r="G393" t="s">
        <v>92</v>
      </c>
      <c r="H393" t="s">
        <v>38</v>
      </c>
      <c r="I393" t="s">
        <v>75</v>
      </c>
      <c r="J393" t="s">
        <v>87</v>
      </c>
      <c r="K393" t="s">
        <v>1393</v>
      </c>
      <c r="L393" t="s">
        <v>155</v>
      </c>
      <c r="M393">
        <v>2461.6994342634698</v>
      </c>
      <c r="N393">
        <v>210.65044081668199</v>
      </c>
      <c r="O393" t="s">
        <v>30</v>
      </c>
      <c r="P393">
        <v>3</v>
      </c>
      <c r="Q393" t="s">
        <v>63</v>
      </c>
      <c r="R393" t="s">
        <v>45</v>
      </c>
      <c r="S393">
        <v>4.41767147657447</v>
      </c>
      <c r="T393">
        <v>32.777120584121903</v>
      </c>
    </row>
    <row r="394" spans="1:20">
      <c r="A394" t="s">
        <v>1394</v>
      </c>
      <c r="B394" t="s">
        <v>161</v>
      </c>
      <c r="C394" t="s">
        <v>35</v>
      </c>
      <c r="D394">
        <v>1010.29982327522</v>
      </c>
      <c r="E394" s="9">
        <v>45941</v>
      </c>
      <c r="F394" t="s">
        <v>1395</v>
      </c>
      <c r="G394" t="s">
        <v>59</v>
      </c>
      <c r="H394" t="s">
        <v>25</v>
      </c>
      <c r="I394" t="s">
        <v>39</v>
      </c>
      <c r="J394" t="s">
        <v>60</v>
      </c>
      <c r="K394" t="s">
        <v>1396</v>
      </c>
      <c r="L394" t="s">
        <v>53</v>
      </c>
      <c r="M394">
        <v>3320.9527219700099</v>
      </c>
      <c r="N394">
        <v>284.13430813438401</v>
      </c>
      <c r="O394" t="s">
        <v>43</v>
      </c>
      <c r="P394">
        <v>4</v>
      </c>
      <c r="Q394" t="s">
        <v>31</v>
      </c>
      <c r="R394" t="s">
        <v>32</v>
      </c>
      <c r="S394">
        <v>3.6950616580144899</v>
      </c>
      <c r="T394">
        <v>80.649594610524503</v>
      </c>
    </row>
    <row r="395" spans="1:20">
      <c r="A395" t="s">
        <v>1397</v>
      </c>
      <c r="B395" t="s">
        <v>308</v>
      </c>
      <c r="C395" t="s">
        <v>35</v>
      </c>
      <c r="D395">
        <v>30786.018131317502</v>
      </c>
      <c r="E395" s="9">
        <v>45942</v>
      </c>
      <c r="F395" t="s">
        <v>1398</v>
      </c>
      <c r="G395" t="s">
        <v>163</v>
      </c>
      <c r="H395" t="s">
        <v>74</v>
      </c>
      <c r="I395" t="s">
        <v>99</v>
      </c>
      <c r="J395" t="s">
        <v>87</v>
      </c>
      <c r="K395" t="s">
        <v>1399</v>
      </c>
      <c r="L395" t="s">
        <v>155</v>
      </c>
      <c r="M395">
        <v>3290.89047506729</v>
      </c>
      <c r="N395">
        <v>0</v>
      </c>
      <c r="O395" t="s">
        <v>54</v>
      </c>
      <c r="P395">
        <v>4</v>
      </c>
      <c r="Q395" t="s">
        <v>55</v>
      </c>
      <c r="R395" t="s">
        <v>82</v>
      </c>
      <c r="S395">
        <v>-22.624687200061601</v>
      </c>
      <c r="T395">
        <v>22.847157591702398</v>
      </c>
    </row>
    <row r="396" spans="1:20">
      <c r="A396" t="s">
        <v>1400</v>
      </c>
      <c r="B396" t="s">
        <v>473</v>
      </c>
      <c r="C396" t="s">
        <v>48</v>
      </c>
      <c r="D396">
        <v>47957.832248744999</v>
      </c>
      <c r="E396" s="9">
        <v>45942</v>
      </c>
      <c r="F396" t="s">
        <v>1401</v>
      </c>
      <c r="G396" t="s">
        <v>172</v>
      </c>
      <c r="H396" t="s">
        <v>106</v>
      </c>
      <c r="I396" t="s">
        <v>51</v>
      </c>
      <c r="J396" t="s">
        <v>87</v>
      </c>
      <c r="K396" t="s">
        <v>1402</v>
      </c>
      <c r="L396" t="s">
        <v>120</v>
      </c>
      <c r="M396">
        <v>2981.4959266906299</v>
      </c>
      <c r="N396">
        <v>272.71397510585598</v>
      </c>
      <c r="O396" t="s">
        <v>43</v>
      </c>
      <c r="P396">
        <v>0</v>
      </c>
      <c r="Q396" t="s">
        <v>95</v>
      </c>
      <c r="R396" t="s">
        <v>102</v>
      </c>
      <c r="S396">
        <v>0.54490971398826804</v>
      </c>
      <c r="T396">
        <v>23.656792521109999</v>
      </c>
    </row>
    <row r="397" spans="1:20">
      <c r="A397" t="s">
        <v>1403</v>
      </c>
      <c r="B397" t="s">
        <v>1064</v>
      </c>
      <c r="C397" t="s">
        <v>22</v>
      </c>
      <c r="D397">
        <v>22904.310942155698</v>
      </c>
      <c r="E397" s="9">
        <v>45942</v>
      </c>
      <c r="F397" t="s">
        <v>1404</v>
      </c>
      <c r="G397" t="s">
        <v>141</v>
      </c>
      <c r="H397" t="s">
        <v>74</v>
      </c>
      <c r="I397" t="s">
        <v>99</v>
      </c>
      <c r="J397" t="s">
        <v>87</v>
      </c>
      <c r="K397" t="s">
        <v>1405</v>
      </c>
      <c r="L397" t="s">
        <v>29</v>
      </c>
      <c r="M397">
        <v>1100.81392625953</v>
      </c>
      <c r="N397">
        <v>0</v>
      </c>
      <c r="O397" t="s">
        <v>62</v>
      </c>
      <c r="P397">
        <v>1</v>
      </c>
      <c r="R397" t="s">
        <v>64</v>
      </c>
      <c r="S397">
        <v>-15.8198045838749</v>
      </c>
      <c r="T397">
        <v>43.686003655712703</v>
      </c>
    </row>
    <row r="398" spans="1:20">
      <c r="A398" t="s">
        <v>1406</v>
      </c>
      <c r="B398" t="s">
        <v>1407</v>
      </c>
      <c r="C398" t="s">
        <v>48</v>
      </c>
      <c r="D398">
        <v>36636.010465107203</v>
      </c>
      <c r="E398" s="9">
        <v>45945</v>
      </c>
      <c r="F398" t="s">
        <v>1408</v>
      </c>
      <c r="G398" t="s">
        <v>50</v>
      </c>
      <c r="H398" t="s">
        <v>93</v>
      </c>
      <c r="I398" t="s">
        <v>99</v>
      </c>
      <c r="J398" t="s">
        <v>40</v>
      </c>
      <c r="K398" t="s">
        <v>1409</v>
      </c>
      <c r="L398" t="s">
        <v>42</v>
      </c>
      <c r="M398">
        <v>4284.9780610075704</v>
      </c>
      <c r="N398">
        <v>0</v>
      </c>
      <c r="O398" t="s">
        <v>62</v>
      </c>
      <c r="P398">
        <v>1</v>
      </c>
      <c r="R398" t="s">
        <v>102</v>
      </c>
      <c r="S398">
        <v>-16.485605859885201</v>
      </c>
      <c r="T398">
        <v>40.4645028440099</v>
      </c>
    </row>
    <row r="399" spans="1:20">
      <c r="A399" t="s">
        <v>1410</v>
      </c>
      <c r="B399" t="s">
        <v>813</v>
      </c>
      <c r="C399" t="s">
        <v>35</v>
      </c>
      <c r="D399">
        <v>5129.6506904927401</v>
      </c>
      <c r="E399" s="9">
        <v>45945</v>
      </c>
      <c r="F399" t="s">
        <v>1411</v>
      </c>
      <c r="G399" t="s">
        <v>59</v>
      </c>
      <c r="H399" t="s">
        <v>38</v>
      </c>
      <c r="I399" t="s">
        <v>39</v>
      </c>
      <c r="J399" t="s">
        <v>27</v>
      </c>
      <c r="K399" t="s">
        <v>1412</v>
      </c>
      <c r="L399" t="s">
        <v>29</v>
      </c>
      <c r="M399">
        <v>635.20093975867599</v>
      </c>
      <c r="N399">
        <v>0</v>
      </c>
      <c r="O399" t="s">
        <v>43</v>
      </c>
      <c r="P399">
        <v>1</v>
      </c>
      <c r="Q399" t="s">
        <v>63</v>
      </c>
      <c r="R399" t="s">
        <v>102</v>
      </c>
      <c r="S399">
        <v>16.639950844931601</v>
      </c>
      <c r="T399">
        <v>91.278738538652505</v>
      </c>
    </row>
    <row r="400" spans="1:20">
      <c r="A400" t="s">
        <v>1413</v>
      </c>
      <c r="B400" t="s">
        <v>1090</v>
      </c>
      <c r="C400" t="s">
        <v>85</v>
      </c>
      <c r="D400">
        <v>1000000</v>
      </c>
      <c r="E400" s="9">
        <v>45945</v>
      </c>
      <c r="F400" t="s">
        <v>1414</v>
      </c>
      <c r="G400" t="s">
        <v>163</v>
      </c>
      <c r="H400" t="s">
        <v>25</v>
      </c>
      <c r="I400" t="s">
        <v>26</v>
      </c>
      <c r="J400" t="s">
        <v>173</v>
      </c>
      <c r="K400" t="s">
        <v>1415</v>
      </c>
      <c r="L400" t="s">
        <v>29</v>
      </c>
      <c r="M400">
        <v>4048.20320890832</v>
      </c>
      <c r="N400">
        <v>0</v>
      </c>
      <c r="O400" t="s">
        <v>30</v>
      </c>
      <c r="P400">
        <v>0</v>
      </c>
      <c r="Q400" t="s">
        <v>31</v>
      </c>
      <c r="R400" t="s">
        <v>133</v>
      </c>
      <c r="S400">
        <v>-29.1954327676726</v>
      </c>
      <c r="T400">
        <v>95.139637248441602</v>
      </c>
    </row>
    <row r="401" spans="1:20">
      <c r="A401" t="s">
        <v>1410</v>
      </c>
      <c r="B401" t="s">
        <v>813</v>
      </c>
      <c r="C401" t="s">
        <v>35</v>
      </c>
      <c r="D401">
        <v>5129.6506904927401</v>
      </c>
      <c r="E401" s="9">
        <v>45945</v>
      </c>
      <c r="F401" t="s">
        <v>1411</v>
      </c>
      <c r="G401" t="s">
        <v>59</v>
      </c>
      <c r="H401" t="s">
        <v>38</v>
      </c>
      <c r="I401" t="s">
        <v>39</v>
      </c>
      <c r="J401" t="s">
        <v>27</v>
      </c>
      <c r="K401" t="s">
        <v>1412</v>
      </c>
      <c r="L401" t="s">
        <v>29</v>
      </c>
      <c r="M401">
        <v>635.20093975867599</v>
      </c>
      <c r="N401">
        <v>0</v>
      </c>
      <c r="O401" t="s">
        <v>43</v>
      </c>
      <c r="P401">
        <v>1</v>
      </c>
      <c r="Q401" t="s">
        <v>63</v>
      </c>
      <c r="R401" t="s">
        <v>102</v>
      </c>
      <c r="S401">
        <v>16.639950844931601</v>
      </c>
      <c r="T401">
        <v>91.278738538652505</v>
      </c>
    </row>
    <row r="402" spans="1:20">
      <c r="A402" t="s">
        <v>1416</v>
      </c>
      <c r="B402" t="s">
        <v>440</v>
      </c>
      <c r="C402" t="s">
        <v>48</v>
      </c>
      <c r="D402">
        <v>35576.528693953704</v>
      </c>
      <c r="E402" s="9">
        <v>45946</v>
      </c>
      <c r="F402" t="s">
        <v>1417</v>
      </c>
      <c r="G402" t="s">
        <v>172</v>
      </c>
      <c r="H402" t="s">
        <v>69</v>
      </c>
      <c r="I402" t="s">
        <v>75</v>
      </c>
      <c r="J402" t="s">
        <v>87</v>
      </c>
      <c r="K402" t="s">
        <v>1418</v>
      </c>
      <c r="L402" t="s">
        <v>120</v>
      </c>
      <c r="M402">
        <v>4387.1527674342997</v>
      </c>
      <c r="N402">
        <v>444.50030540733297</v>
      </c>
      <c r="O402" t="s">
        <v>101</v>
      </c>
      <c r="P402">
        <v>4</v>
      </c>
      <c r="R402" t="s">
        <v>82</v>
      </c>
      <c r="S402">
        <v>-1.19353032286282</v>
      </c>
      <c r="T402">
        <v>4.6433655482812304</v>
      </c>
    </row>
    <row r="403" spans="1:20">
      <c r="A403" t="s">
        <v>1419</v>
      </c>
      <c r="B403" t="s">
        <v>253</v>
      </c>
      <c r="C403" t="s">
        <v>85</v>
      </c>
      <c r="D403">
        <v>36068.573505894303</v>
      </c>
      <c r="E403" s="9">
        <v>45946</v>
      </c>
      <c r="F403" t="s">
        <v>1420</v>
      </c>
      <c r="G403" t="s">
        <v>172</v>
      </c>
      <c r="H403" t="s">
        <v>69</v>
      </c>
      <c r="I403" t="s">
        <v>39</v>
      </c>
      <c r="J403" t="s">
        <v>40</v>
      </c>
      <c r="K403" t="s">
        <v>1421</v>
      </c>
      <c r="L403" t="s">
        <v>29</v>
      </c>
      <c r="M403">
        <v>481.19098283409897</v>
      </c>
      <c r="N403">
        <v>32.6383787832319</v>
      </c>
      <c r="O403" t="s">
        <v>62</v>
      </c>
      <c r="P403">
        <v>1</v>
      </c>
      <c r="Q403" t="s">
        <v>31</v>
      </c>
      <c r="R403" t="s">
        <v>32</v>
      </c>
      <c r="S403">
        <v>27.3383677034053</v>
      </c>
      <c r="T403">
        <v>14.510557339645</v>
      </c>
    </row>
    <row r="404" spans="1:20">
      <c r="A404" t="s">
        <v>1422</v>
      </c>
      <c r="B404" t="s">
        <v>1423</v>
      </c>
      <c r="C404" t="s">
        <v>48</v>
      </c>
      <c r="D404">
        <v>5238.77581863264</v>
      </c>
      <c r="E404" s="9">
        <v>45946</v>
      </c>
      <c r="F404" t="s">
        <v>1424</v>
      </c>
      <c r="G404" t="s">
        <v>141</v>
      </c>
      <c r="H404" t="s">
        <v>38</v>
      </c>
      <c r="I404" t="s">
        <v>75</v>
      </c>
      <c r="J404" t="s">
        <v>27</v>
      </c>
      <c r="K404" t="s">
        <v>1425</v>
      </c>
      <c r="L404" t="s">
        <v>155</v>
      </c>
      <c r="M404">
        <v>3587.7435924168799</v>
      </c>
      <c r="N404">
        <v>0</v>
      </c>
      <c r="O404" t="s">
        <v>62</v>
      </c>
      <c r="P404">
        <v>0</v>
      </c>
      <c r="Q404" t="s">
        <v>44</v>
      </c>
      <c r="R404" t="s">
        <v>64</v>
      </c>
      <c r="S404">
        <v>9.1882039975113194</v>
      </c>
      <c r="T404">
        <v>3.7552320060045599</v>
      </c>
    </row>
    <row r="405" spans="1:20">
      <c r="A405" t="s">
        <v>1426</v>
      </c>
      <c r="B405" t="s">
        <v>1097</v>
      </c>
      <c r="C405" t="s">
        <v>85</v>
      </c>
      <c r="D405">
        <v>20641.894596440601</v>
      </c>
      <c r="E405" s="9">
        <v>45950</v>
      </c>
      <c r="F405" t="s">
        <v>1427</v>
      </c>
      <c r="G405" t="s">
        <v>68</v>
      </c>
      <c r="H405" t="s">
        <v>69</v>
      </c>
      <c r="I405" t="s">
        <v>26</v>
      </c>
      <c r="J405" t="s">
        <v>40</v>
      </c>
      <c r="K405" t="s">
        <v>1428</v>
      </c>
      <c r="L405" t="s">
        <v>53</v>
      </c>
      <c r="M405">
        <v>2254.7771294736399</v>
      </c>
      <c r="N405">
        <v>30.452771617591399</v>
      </c>
      <c r="O405" t="s">
        <v>43</v>
      </c>
      <c r="P405">
        <v>2</v>
      </c>
      <c r="Q405" t="s">
        <v>55</v>
      </c>
      <c r="R405" t="s">
        <v>32</v>
      </c>
      <c r="S405">
        <v>-11.628244771075099</v>
      </c>
      <c r="T405">
        <v>77.9005393924038</v>
      </c>
    </row>
    <row r="406" spans="1:20">
      <c r="A406" t="s">
        <v>1429</v>
      </c>
      <c r="B406" t="s">
        <v>1014</v>
      </c>
      <c r="C406" t="s">
        <v>22</v>
      </c>
      <c r="D406">
        <v>24239.3716024274</v>
      </c>
      <c r="E406" s="9">
        <v>45950</v>
      </c>
      <c r="F406" t="s">
        <v>1430</v>
      </c>
      <c r="G406" t="s">
        <v>181</v>
      </c>
      <c r="H406" t="s">
        <v>69</v>
      </c>
      <c r="I406" t="s">
        <v>26</v>
      </c>
      <c r="J406" t="s">
        <v>27</v>
      </c>
      <c r="K406" t="s">
        <v>1431</v>
      </c>
      <c r="L406" t="s">
        <v>155</v>
      </c>
      <c r="M406">
        <v>745.70828357793698</v>
      </c>
      <c r="N406">
        <v>0</v>
      </c>
      <c r="O406" t="s">
        <v>101</v>
      </c>
      <c r="P406">
        <v>4</v>
      </c>
      <c r="Q406" t="s">
        <v>31</v>
      </c>
      <c r="R406" t="s">
        <v>82</v>
      </c>
      <c r="S406">
        <v>-4.34965777719803</v>
      </c>
      <c r="T406">
        <v>82.164933388007199</v>
      </c>
    </row>
    <row r="407" spans="1:20">
      <c r="A407" t="s">
        <v>1432</v>
      </c>
      <c r="B407" t="s">
        <v>864</v>
      </c>
      <c r="C407" t="s">
        <v>85</v>
      </c>
      <c r="D407">
        <v>17144.004201781601</v>
      </c>
      <c r="E407" s="9">
        <v>45950</v>
      </c>
      <c r="F407" t="s">
        <v>1433</v>
      </c>
      <c r="G407" t="s">
        <v>68</v>
      </c>
      <c r="H407" t="s">
        <v>74</v>
      </c>
      <c r="I407" t="s">
        <v>26</v>
      </c>
      <c r="J407" t="s">
        <v>27</v>
      </c>
      <c r="K407" t="s">
        <v>1434</v>
      </c>
      <c r="L407" t="s">
        <v>120</v>
      </c>
      <c r="M407">
        <v>316.17294272681801</v>
      </c>
      <c r="N407">
        <v>179.83778061153399</v>
      </c>
      <c r="O407" t="s">
        <v>62</v>
      </c>
      <c r="P407">
        <v>1</v>
      </c>
      <c r="R407" t="s">
        <v>82</v>
      </c>
      <c r="S407">
        <v>-1.7002090328903801</v>
      </c>
      <c r="T407">
        <v>4.6261917339999998</v>
      </c>
    </row>
    <row r="408" spans="1:20">
      <c r="A408" t="s">
        <v>1435</v>
      </c>
      <c r="B408" t="s">
        <v>685</v>
      </c>
      <c r="C408" t="s">
        <v>48</v>
      </c>
      <c r="D408">
        <v>43923.211307211699</v>
      </c>
      <c r="E408" s="9">
        <v>45950</v>
      </c>
      <c r="F408" t="s">
        <v>1436</v>
      </c>
      <c r="G408" t="s">
        <v>141</v>
      </c>
      <c r="H408" t="s">
        <v>38</v>
      </c>
      <c r="I408" t="s">
        <v>75</v>
      </c>
      <c r="J408" t="s">
        <v>60</v>
      </c>
      <c r="K408" t="s">
        <v>1437</v>
      </c>
      <c r="L408" t="s">
        <v>42</v>
      </c>
      <c r="M408">
        <v>799.28729775321096</v>
      </c>
      <c r="N408">
        <v>183.33943985149099</v>
      </c>
      <c r="O408" t="s">
        <v>54</v>
      </c>
      <c r="P408">
        <v>4</v>
      </c>
      <c r="Q408" t="s">
        <v>55</v>
      </c>
      <c r="R408" t="s">
        <v>102</v>
      </c>
      <c r="S408">
        <v>-13.4742057816316</v>
      </c>
      <c r="T408">
        <v>73.485052049960103</v>
      </c>
    </row>
    <row r="409" spans="1:20">
      <c r="A409" t="s">
        <v>1438</v>
      </c>
      <c r="B409" t="s">
        <v>451</v>
      </c>
      <c r="C409" t="s">
        <v>85</v>
      </c>
      <c r="D409">
        <v>3980.49066953996</v>
      </c>
      <c r="E409" s="9">
        <v>45952</v>
      </c>
      <c r="F409" t="s">
        <v>1439</v>
      </c>
      <c r="G409" t="s">
        <v>59</v>
      </c>
      <c r="H409" t="s">
        <v>93</v>
      </c>
      <c r="I409" t="s">
        <v>51</v>
      </c>
      <c r="J409" t="s">
        <v>173</v>
      </c>
      <c r="K409" t="s">
        <v>1440</v>
      </c>
      <c r="L409" t="s">
        <v>120</v>
      </c>
      <c r="M409">
        <v>4067.28142154016</v>
      </c>
      <c r="N409">
        <v>0</v>
      </c>
      <c r="O409" t="s">
        <v>62</v>
      </c>
      <c r="P409">
        <v>2</v>
      </c>
      <c r="Q409" t="s">
        <v>63</v>
      </c>
      <c r="R409" t="s">
        <v>82</v>
      </c>
      <c r="S409">
        <v>-2.4618169160790702</v>
      </c>
      <c r="T409">
        <v>80.579286595823504</v>
      </c>
    </row>
    <row r="410" spans="1:20">
      <c r="A410" t="s">
        <v>1441</v>
      </c>
      <c r="B410" t="s">
        <v>1442</v>
      </c>
      <c r="C410" t="s">
        <v>22</v>
      </c>
      <c r="D410">
        <v>48658.206428578203</v>
      </c>
      <c r="E410" s="9">
        <v>45952</v>
      </c>
      <c r="F410" t="s">
        <v>1443</v>
      </c>
      <c r="G410" t="s">
        <v>50</v>
      </c>
      <c r="H410" t="s">
        <v>74</v>
      </c>
      <c r="I410" t="s">
        <v>51</v>
      </c>
      <c r="J410" t="s">
        <v>27</v>
      </c>
      <c r="K410" t="s">
        <v>1444</v>
      </c>
      <c r="L410" t="s">
        <v>155</v>
      </c>
      <c r="M410">
        <v>1216.3331133986601</v>
      </c>
      <c r="N410">
        <v>0</v>
      </c>
      <c r="O410" t="s">
        <v>101</v>
      </c>
      <c r="P410">
        <v>1</v>
      </c>
      <c r="R410" t="s">
        <v>133</v>
      </c>
      <c r="S410">
        <v>-13.1683306886759</v>
      </c>
      <c r="T410">
        <v>56.928138295052399</v>
      </c>
    </row>
    <row r="411" spans="1:20">
      <c r="A411" t="s">
        <v>1445</v>
      </c>
      <c r="B411" t="s">
        <v>1446</v>
      </c>
      <c r="C411" t="s">
        <v>35</v>
      </c>
      <c r="D411">
        <v>9401.6088407283896</v>
      </c>
      <c r="E411" s="9">
        <v>45952</v>
      </c>
      <c r="F411" t="s">
        <v>1447</v>
      </c>
      <c r="G411" t="s">
        <v>172</v>
      </c>
      <c r="H411" t="s">
        <v>106</v>
      </c>
      <c r="I411" t="s">
        <v>39</v>
      </c>
      <c r="J411" t="s">
        <v>87</v>
      </c>
      <c r="K411" t="s">
        <v>1448</v>
      </c>
      <c r="L411" t="s">
        <v>120</v>
      </c>
      <c r="M411">
        <v>4772.5092121365196</v>
      </c>
      <c r="N411">
        <v>66.642129041086605</v>
      </c>
      <c r="O411" t="s">
        <v>30</v>
      </c>
      <c r="P411">
        <v>0</v>
      </c>
      <c r="Q411" t="s">
        <v>55</v>
      </c>
      <c r="R411" t="s">
        <v>64</v>
      </c>
      <c r="S411">
        <v>25.660472489971198</v>
      </c>
      <c r="T411">
        <v>85.243041756911893</v>
      </c>
    </row>
    <row r="412" spans="1:20">
      <c r="A412" t="s">
        <v>1441</v>
      </c>
      <c r="B412" t="s">
        <v>1442</v>
      </c>
      <c r="C412" t="s">
        <v>22</v>
      </c>
      <c r="D412">
        <v>48658.206428578203</v>
      </c>
      <c r="E412" s="9">
        <v>45952</v>
      </c>
      <c r="F412" t="s">
        <v>1443</v>
      </c>
      <c r="G412" t="s">
        <v>50</v>
      </c>
      <c r="H412" t="s">
        <v>74</v>
      </c>
      <c r="I412" t="s">
        <v>51</v>
      </c>
      <c r="J412" t="s">
        <v>27</v>
      </c>
      <c r="K412" t="s">
        <v>1444</v>
      </c>
      <c r="L412" t="s">
        <v>155</v>
      </c>
      <c r="M412">
        <v>1216.3331133986601</v>
      </c>
      <c r="N412">
        <v>0</v>
      </c>
      <c r="O412" t="s">
        <v>101</v>
      </c>
      <c r="P412">
        <v>1</v>
      </c>
      <c r="R412" t="s">
        <v>133</v>
      </c>
      <c r="S412">
        <v>-13.1683306886759</v>
      </c>
      <c r="T412">
        <v>56.928138295052399</v>
      </c>
    </row>
    <row r="413" spans="1:20">
      <c r="A413" t="s">
        <v>1449</v>
      </c>
      <c r="B413" t="s">
        <v>372</v>
      </c>
      <c r="C413" t="s">
        <v>22</v>
      </c>
      <c r="D413">
        <v>20187.247175489301</v>
      </c>
      <c r="E413" s="9">
        <v>45954</v>
      </c>
      <c r="F413" t="s">
        <v>1450</v>
      </c>
      <c r="G413" t="s">
        <v>68</v>
      </c>
      <c r="H413" t="s">
        <v>74</v>
      </c>
      <c r="I413" t="s">
        <v>51</v>
      </c>
      <c r="J413" t="s">
        <v>27</v>
      </c>
      <c r="K413" t="s">
        <v>1451</v>
      </c>
      <c r="L413" t="s">
        <v>155</v>
      </c>
      <c r="M413">
        <v>4037.7309829126798</v>
      </c>
      <c r="N413">
        <v>320.54305179108002</v>
      </c>
      <c r="O413" t="s">
        <v>54</v>
      </c>
      <c r="P413">
        <v>4</v>
      </c>
      <c r="Q413" t="s">
        <v>63</v>
      </c>
      <c r="R413" t="s">
        <v>45</v>
      </c>
      <c r="S413">
        <v>-15.022517735365</v>
      </c>
      <c r="T413">
        <v>48.281009332837002</v>
      </c>
    </row>
    <row r="414" spans="1:20">
      <c r="A414" t="s">
        <v>1449</v>
      </c>
      <c r="B414" t="s">
        <v>372</v>
      </c>
      <c r="C414" t="s">
        <v>22</v>
      </c>
      <c r="D414">
        <v>20187.247175489301</v>
      </c>
      <c r="E414" s="9">
        <v>45954</v>
      </c>
      <c r="F414" t="s">
        <v>1450</v>
      </c>
      <c r="G414" t="s">
        <v>68</v>
      </c>
      <c r="H414" t="s">
        <v>74</v>
      </c>
      <c r="I414" t="s">
        <v>51</v>
      </c>
      <c r="J414" t="s">
        <v>27</v>
      </c>
      <c r="K414" t="s">
        <v>1451</v>
      </c>
      <c r="L414" t="s">
        <v>155</v>
      </c>
      <c r="M414">
        <v>4037.7309829126798</v>
      </c>
      <c r="N414">
        <v>320.54305179108002</v>
      </c>
      <c r="O414" t="s">
        <v>54</v>
      </c>
      <c r="P414">
        <v>4</v>
      </c>
      <c r="Q414" t="s">
        <v>63</v>
      </c>
      <c r="R414" t="s">
        <v>45</v>
      </c>
      <c r="S414">
        <v>-15.022517735365</v>
      </c>
      <c r="T414">
        <v>48.281009332837002</v>
      </c>
    </row>
    <row r="415" spans="1:20">
      <c r="A415" t="s">
        <v>1452</v>
      </c>
      <c r="B415" t="s">
        <v>1453</v>
      </c>
      <c r="C415" t="s">
        <v>48</v>
      </c>
      <c r="D415">
        <v>49030.782328981397</v>
      </c>
      <c r="E415" s="9">
        <v>45955</v>
      </c>
      <c r="F415" t="s">
        <v>1454</v>
      </c>
      <c r="G415" t="s">
        <v>59</v>
      </c>
      <c r="H415" t="s">
        <v>106</v>
      </c>
      <c r="I415" t="s">
        <v>75</v>
      </c>
      <c r="J415" t="s">
        <v>60</v>
      </c>
      <c r="K415" t="s">
        <v>1455</v>
      </c>
      <c r="L415" t="s">
        <v>120</v>
      </c>
      <c r="M415">
        <v>725.03312096445097</v>
      </c>
      <c r="N415">
        <v>0</v>
      </c>
      <c r="O415" t="s">
        <v>62</v>
      </c>
      <c r="P415">
        <v>0</v>
      </c>
      <c r="Q415" t="s">
        <v>95</v>
      </c>
      <c r="R415" t="s">
        <v>64</v>
      </c>
      <c r="S415">
        <v>-12.439713254434499</v>
      </c>
      <c r="T415">
        <v>93.805385355393</v>
      </c>
    </row>
    <row r="416" spans="1:20">
      <c r="A416" t="s">
        <v>1456</v>
      </c>
      <c r="B416" t="s">
        <v>542</v>
      </c>
      <c r="C416" t="s">
        <v>35</v>
      </c>
      <c r="D416">
        <v>31691.593361536601</v>
      </c>
      <c r="E416" s="9">
        <v>45957</v>
      </c>
      <c r="F416" t="s">
        <v>1457</v>
      </c>
      <c r="G416" t="s">
        <v>172</v>
      </c>
      <c r="H416" t="s">
        <v>93</v>
      </c>
      <c r="I416" t="s">
        <v>39</v>
      </c>
      <c r="J416" t="s">
        <v>27</v>
      </c>
      <c r="K416" t="s">
        <v>197</v>
      </c>
      <c r="L416" t="s">
        <v>42</v>
      </c>
      <c r="M416">
        <v>1581.5933346086999</v>
      </c>
      <c r="N416">
        <v>341.25586505810003</v>
      </c>
      <c r="O416" t="s">
        <v>30</v>
      </c>
      <c r="P416">
        <v>4</v>
      </c>
      <c r="Q416" t="s">
        <v>95</v>
      </c>
      <c r="R416" t="s">
        <v>102</v>
      </c>
      <c r="S416">
        <v>-14.7830623416862</v>
      </c>
      <c r="T416">
        <v>82.107836199824106</v>
      </c>
    </row>
    <row r="417" spans="1:20">
      <c r="A417" t="s">
        <v>1458</v>
      </c>
      <c r="B417" t="s">
        <v>444</v>
      </c>
      <c r="C417" t="s">
        <v>35</v>
      </c>
      <c r="D417">
        <v>24900.896246180298</v>
      </c>
      <c r="E417" s="9">
        <v>45958</v>
      </c>
      <c r="F417" t="s">
        <v>1459</v>
      </c>
      <c r="G417" t="s">
        <v>141</v>
      </c>
      <c r="H417" t="s">
        <v>25</v>
      </c>
      <c r="I417" t="s">
        <v>26</v>
      </c>
      <c r="J417" t="s">
        <v>27</v>
      </c>
      <c r="K417" t="s">
        <v>1460</v>
      </c>
      <c r="L417" t="s">
        <v>29</v>
      </c>
      <c r="M417">
        <v>2873.5269824480301</v>
      </c>
      <c r="N417">
        <v>0</v>
      </c>
      <c r="O417" t="s">
        <v>43</v>
      </c>
      <c r="P417">
        <v>0</v>
      </c>
      <c r="Q417" t="s">
        <v>55</v>
      </c>
      <c r="R417" t="s">
        <v>45</v>
      </c>
      <c r="S417">
        <v>-3.3686405315658399</v>
      </c>
      <c r="T417">
        <v>43.624444836431699</v>
      </c>
    </row>
    <row r="418" spans="1:20">
      <c r="A418" t="s">
        <v>1461</v>
      </c>
      <c r="B418" t="s">
        <v>782</v>
      </c>
      <c r="C418" t="s">
        <v>35</v>
      </c>
      <c r="D418">
        <v>28842.321048502399</v>
      </c>
      <c r="E418" s="9">
        <v>45958</v>
      </c>
      <c r="F418" t="s">
        <v>1462</v>
      </c>
      <c r="G418" t="s">
        <v>37</v>
      </c>
      <c r="H418" t="s">
        <v>38</v>
      </c>
      <c r="I418" t="s">
        <v>26</v>
      </c>
      <c r="J418" t="s">
        <v>27</v>
      </c>
      <c r="K418" t="s">
        <v>1463</v>
      </c>
      <c r="L418" t="s">
        <v>53</v>
      </c>
      <c r="M418">
        <v>1335.0362543569699</v>
      </c>
      <c r="N418">
        <v>0</v>
      </c>
      <c r="O418" t="s">
        <v>54</v>
      </c>
      <c r="P418">
        <v>3</v>
      </c>
      <c r="Q418" t="s">
        <v>95</v>
      </c>
      <c r="R418" t="s">
        <v>102</v>
      </c>
      <c r="S418">
        <v>23.256499769637301</v>
      </c>
      <c r="T418">
        <v>34.156963294427499</v>
      </c>
    </row>
    <row r="419" spans="1:20">
      <c r="A419" t="s">
        <v>1461</v>
      </c>
      <c r="B419" t="s">
        <v>782</v>
      </c>
      <c r="C419" t="s">
        <v>35</v>
      </c>
      <c r="D419">
        <v>28842.321048502399</v>
      </c>
      <c r="E419" s="9">
        <v>45958</v>
      </c>
      <c r="F419" t="s">
        <v>1462</v>
      </c>
      <c r="G419" t="s">
        <v>37</v>
      </c>
      <c r="H419" t="s">
        <v>38</v>
      </c>
      <c r="I419" t="s">
        <v>26</v>
      </c>
      <c r="J419" t="s">
        <v>27</v>
      </c>
      <c r="K419" t="s">
        <v>1463</v>
      </c>
      <c r="L419" t="s">
        <v>53</v>
      </c>
      <c r="M419">
        <v>1335.0362543569699</v>
      </c>
      <c r="N419">
        <v>0</v>
      </c>
      <c r="O419" t="s">
        <v>54</v>
      </c>
      <c r="P419">
        <v>3</v>
      </c>
      <c r="Q419" t="s">
        <v>95</v>
      </c>
      <c r="R419" t="s">
        <v>102</v>
      </c>
      <c r="S419">
        <v>23.256499769637301</v>
      </c>
      <c r="T419">
        <v>34.156963294427499</v>
      </c>
    </row>
    <row r="420" spans="1:20">
      <c r="A420" t="s">
        <v>1464</v>
      </c>
      <c r="B420" t="s">
        <v>896</v>
      </c>
      <c r="C420" t="s">
        <v>35</v>
      </c>
      <c r="D420">
        <v>41146.935407992503</v>
      </c>
      <c r="E420" s="9">
        <v>45958</v>
      </c>
      <c r="F420" t="s">
        <v>1465</v>
      </c>
      <c r="G420" t="s">
        <v>181</v>
      </c>
      <c r="H420" t="s">
        <v>74</v>
      </c>
      <c r="I420" t="s">
        <v>26</v>
      </c>
      <c r="J420" t="s">
        <v>27</v>
      </c>
      <c r="K420" t="s">
        <v>1466</v>
      </c>
      <c r="L420" t="s">
        <v>53</v>
      </c>
      <c r="M420">
        <v>2172.3832410176801</v>
      </c>
      <c r="N420">
        <v>0</v>
      </c>
      <c r="O420" t="s">
        <v>62</v>
      </c>
      <c r="P420">
        <v>4</v>
      </c>
      <c r="Q420" t="s">
        <v>55</v>
      </c>
      <c r="R420" t="s">
        <v>133</v>
      </c>
      <c r="S420">
        <v>-19.784450872473801</v>
      </c>
      <c r="T420">
        <v>60.858315463990799</v>
      </c>
    </row>
    <row r="421" spans="1:20">
      <c r="A421" t="s">
        <v>1467</v>
      </c>
      <c r="B421" t="s">
        <v>432</v>
      </c>
      <c r="C421" t="s">
        <v>22</v>
      </c>
      <c r="D421">
        <v>12646.977731638701</v>
      </c>
      <c r="E421" s="9">
        <v>45958</v>
      </c>
      <c r="F421" t="s">
        <v>1468</v>
      </c>
      <c r="G421" t="s">
        <v>68</v>
      </c>
      <c r="H421" t="s">
        <v>74</v>
      </c>
      <c r="I421" t="s">
        <v>26</v>
      </c>
      <c r="J421" t="s">
        <v>173</v>
      </c>
      <c r="K421" t="s">
        <v>1469</v>
      </c>
      <c r="L421" t="s">
        <v>155</v>
      </c>
      <c r="M421">
        <v>1960.4005791377899</v>
      </c>
      <c r="N421">
        <v>108.726466108618</v>
      </c>
      <c r="O421" t="s">
        <v>30</v>
      </c>
      <c r="P421">
        <v>1</v>
      </c>
      <c r="Q421" t="s">
        <v>31</v>
      </c>
      <c r="R421" t="s">
        <v>32</v>
      </c>
      <c r="S421">
        <v>-10.793391539645899</v>
      </c>
      <c r="T421">
        <v>81.043658561562495</v>
      </c>
    </row>
    <row r="422" spans="1:20">
      <c r="A422" t="s">
        <v>1470</v>
      </c>
      <c r="B422" t="s">
        <v>984</v>
      </c>
      <c r="C422" t="s">
        <v>48</v>
      </c>
      <c r="D422">
        <v>11270.0683887254</v>
      </c>
      <c r="E422" s="9">
        <v>45959</v>
      </c>
      <c r="F422" t="s">
        <v>1471</v>
      </c>
      <c r="G422" t="s">
        <v>92</v>
      </c>
      <c r="H422" t="s">
        <v>93</v>
      </c>
      <c r="I422" t="s">
        <v>75</v>
      </c>
      <c r="J422" t="s">
        <v>60</v>
      </c>
      <c r="K422" t="s">
        <v>389</v>
      </c>
      <c r="L422" t="s">
        <v>81</v>
      </c>
      <c r="M422">
        <v>4362.6955556233297</v>
      </c>
      <c r="N422">
        <v>4.9137762848939204</v>
      </c>
      <c r="O422" t="s">
        <v>62</v>
      </c>
      <c r="P422">
        <v>0</v>
      </c>
      <c r="Q422" t="s">
        <v>31</v>
      </c>
      <c r="R422" t="s">
        <v>32</v>
      </c>
      <c r="S422">
        <v>5.0591839057625396</v>
      </c>
      <c r="T422">
        <v>80.793803001428302</v>
      </c>
    </row>
    <row r="423" spans="1:20">
      <c r="A423" t="s">
        <v>1472</v>
      </c>
      <c r="B423" t="s">
        <v>353</v>
      </c>
      <c r="C423" t="s">
        <v>35</v>
      </c>
      <c r="D423">
        <v>27785.298866257101</v>
      </c>
      <c r="E423" s="9">
        <v>45959</v>
      </c>
      <c r="F423" t="s">
        <v>1473</v>
      </c>
      <c r="G423" t="s">
        <v>181</v>
      </c>
      <c r="H423" t="s">
        <v>25</v>
      </c>
      <c r="I423" t="s">
        <v>51</v>
      </c>
      <c r="J423" t="s">
        <v>40</v>
      </c>
      <c r="K423" t="s">
        <v>1474</v>
      </c>
      <c r="M423">
        <v>3305.69492901597</v>
      </c>
      <c r="N423">
        <v>0</v>
      </c>
      <c r="O423" t="s">
        <v>43</v>
      </c>
      <c r="P423">
        <v>2</v>
      </c>
      <c r="Q423" t="s">
        <v>55</v>
      </c>
      <c r="R423" t="s">
        <v>82</v>
      </c>
      <c r="S423">
        <v>17.0567888972741</v>
      </c>
      <c r="T423">
        <v>72.951692857312196</v>
      </c>
    </row>
    <row r="424" spans="1:20">
      <c r="A424" t="s">
        <v>1475</v>
      </c>
      <c r="B424" t="s">
        <v>21</v>
      </c>
      <c r="C424" t="s">
        <v>48</v>
      </c>
      <c r="D424">
        <v>3539.1848144242199</v>
      </c>
      <c r="E424" s="9">
        <v>45960</v>
      </c>
      <c r="F424" t="s">
        <v>1476</v>
      </c>
      <c r="G424" t="s">
        <v>92</v>
      </c>
      <c r="H424" t="s">
        <v>93</v>
      </c>
      <c r="I424" t="s">
        <v>51</v>
      </c>
      <c r="J424" t="s">
        <v>60</v>
      </c>
      <c r="K424" t="s">
        <v>761</v>
      </c>
      <c r="L424" t="s">
        <v>81</v>
      </c>
      <c r="M424">
        <v>4271.9856000801801</v>
      </c>
      <c r="N424">
        <v>81.677224871578204</v>
      </c>
      <c r="O424" t="s">
        <v>43</v>
      </c>
      <c r="P424">
        <v>2</v>
      </c>
      <c r="Q424" t="s">
        <v>44</v>
      </c>
      <c r="R424" t="s">
        <v>64</v>
      </c>
      <c r="S424">
        <v>-15.9480564127146</v>
      </c>
      <c r="T424">
        <v>40.938913118341802</v>
      </c>
    </row>
    <row r="425" spans="1:20">
      <c r="A425" t="s">
        <v>1477</v>
      </c>
      <c r="B425" t="s">
        <v>799</v>
      </c>
      <c r="C425" t="s">
        <v>48</v>
      </c>
      <c r="D425">
        <v>29734.766568139199</v>
      </c>
      <c r="E425" s="9">
        <v>45961</v>
      </c>
      <c r="F425" t="s">
        <v>1478</v>
      </c>
      <c r="G425" t="s">
        <v>181</v>
      </c>
      <c r="H425" t="s">
        <v>74</v>
      </c>
      <c r="I425" t="s">
        <v>75</v>
      </c>
      <c r="J425" t="s">
        <v>27</v>
      </c>
      <c r="K425" t="s">
        <v>1479</v>
      </c>
      <c r="L425" t="s">
        <v>42</v>
      </c>
      <c r="M425">
        <v>3759.4261327845702</v>
      </c>
      <c r="N425">
        <v>0</v>
      </c>
      <c r="O425" t="s">
        <v>62</v>
      </c>
      <c r="P425">
        <v>3</v>
      </c>
      <c r="Q425" t="s">
        <v>31</v>
      </c>
      <c r="R425" t="s">
        <v>45</v>
      </c>
      <c r="S425">
        <v>28.928111066168999</v>
      </c>
      <c r="T425">
        <v>96.138247014371501</v>
      </c>
    </row>
    <row r="426" spans="1:20">
      <c r="A426" t="s">
        <v>1480</v>
      </c>
      <c r="B426" t="s">
        <v>782</v>
      </c>
      <c r="C426" t="s">
        <v>22</v>
      </c>
      <c r="D426">
        <v>20074.994396622998</v>
      </c>
      <c r="E426" s="9">
        <v>45962</v>
      </c>
      <c r="F426" t="s">
        <v>1481</v>
      </c>
      <c r="G426" t="s">
        <v>59</v>
      </c>
      <c r="H426" t="s">
        <v>69</v>
      </c>
      <c r="I426" t="s">
        <v>39</v>
      </c>
      <c r="J426" t="s">
        <v>40</v>
      </c>
      <c r="K426" t="s">
        <v>1482</v>
      </c>
      <c r="L426" t="s">
        <v>120</v>
      </c>
      <c r="M426">
        <v>1564.93347283242</v>
      </c>
      <c r="N426">
        <v>0</v>
      </c>
      <c r="O426" t="s">
        <v>30</v>
      </c>
      <c r="P426">
        <v>0</v>
      </c>
      <c r="Q426" t="s">
        <v>95</v>
      </c>
      <c r="R426" t="s">
        <v>32</v>
      </c>
      <c r="S426">
        <v>7.5658861192228004</v>
      </c>
      <c r="T426">
        <v>64.019386853703196</v>
      </c>
    </row>
    <row r="427" spans="1:20">
      <c r="A427" t="s">
        <v>1483</v>
      </c>
      <c r="B427" t="s">
        <v>629</v>
      </c>
      <c r="C427" t="s">
        <v>35</v>
      </c>
      <c r="D427">
        <v>6226.5667941691499</v>
      </c>
      <c r="E427" s="9">
        <v>45962</v>
      </c>
      <c r="F427" t="s">
        <v>1484</v>
      </c>
      <c r="G427" t="s">
        <v>37</v>
      </c>
      <c r="H427" t="s">
        <v>25</v>
      </c>
      <c r="I427" t="s">
        <v>26</v>
      </c>
      <c r="J427" t="s">
        <v>40</v>
      </c>
      <c r="K427" t="s">
        <v>1485</v>
      </c>
      <c r="L427" t="s">
        <v>155</v>
      </c>
      <c r="M427">
        <v>4173.0400919773701</v>
      </c>
      <c r="N427">
        <v>0</v>
      </c>
      <c r="O427" t="s">
        <v>54</v>
      </c>
      <c r="P427">
        <v>4</v>
      </c>
      <c r="R427" t="s">
        <v>102</v>
      </c>
      <c r="S427">
        <v>27.642885100189002</v>
      </c>
      <c r="T427">
        <v>99.974127225809298</v>
      </c>
    </row>
    <row r="428" spans="1:20">
      <c r="A428" t="s">
        <v>1486</v>
      </c>
      <c r="B428" t="s">
        <v>78</v>
      </c>
      <c r="C428" t="s">
        <v>35</v>
      </c>
      <c r="D428">
        <v>30559.192883697098</v>
      </c>
      <c r="E428" s="9">
        <v>45962</v>
      </c>
      <c r="F428" t="s">
        <v>1487</v>
      </c>
      <c r="G428" t="s">
        <v>163</v>
      </c>
      <c r="H428" t="s">
        <v>74</v>
      </c>
      <c r="I428" t="s">
        <v>51</v>
      </c>
      <c r="J428" t="s">
        <v>87</v>
      </c>
      <c r="K428" t="s">
        <v>1488</v>
      </c>
      <c r="L428" t="s">
        <v>155</v>
      </c>
      <c r="M428">
        <v>1406.89580090504</v>
      </c>
      <c r="N428">
        <v>0</v>
      </c>
      <c r="O428" t="s">
        <v>54</v>
      </c>
      <c r="P428">
        <v>0</v>
      </c>
      <c r="R428" t="s">
        <v>102</v>
      </c>
      <c r="S428">
        <v>25.8654174304809</v>
      </c>
      <c r="T428">
        <v>45.442231915954103</v>
      </c>
    </row>
    <row r="429" spans="1:20">
      <c r="A429" t="s">
        <v>1489</v>
      </c>
      <c r="B429" t="s">
        <v>130</v>
      </c>
      <c r="C429" t="s">
        <v>85</v>
      </c>
      <c r="D429">
        <v>37756.301063819803</v>
      </c>
      <c r="E429" s="9">
        <v>45963</v>
      </c>
      <c r="F429" t="s">
        <v>1490</v>
      </c>
      <c r="G429" t="s">
        <v>92</v>
      </c>
      <c r="H429" t="s">
        <v>74</v>
      </c>
      <c r="I429" t="s">
        <v>51</v>
      </c>
      <c r="J429" t="s">
        <v>40</v>
      </c>
      <c r="K429" t="s">
        <v>1491</v>
      </c>
      <c r="L429" t="s">
        <v>120</v>
      </c>
      <c r="M429">
        <v>3702.5080550852699</v>
      </c>
      <c r="N429">
        <v>0</v>
      </c>
      <c r="O429" t="s">
        <v>54</v>
      </c>
      <c r="P429">
        <v>1</v>
      </c>
      <c r="R429" t="s">
        <v>64</v>
      </c>
      <c r="S429">
        <v>-17.529376714821101</v>
      </c>
      <c r="T429">
        <v>55.673230775921802</v>
      </c>
    </row>
    <row r="430" spans="1:20">
      <c r="A430" t="s">
        <v>1492</v>
      </c>
      <c r="B430" t="s">
        <v>1493</v>
      </c>
      <c r="C430" t="s">
        <v>48</v>
      </c>
      <c r="D430">
        <v>12611.4599620237</v>
      </c>
      <c r="E430" s="9">
        <v>45964</v>
      </c>
      <c r="F430" t="s">
        <v>1494</v>
      </c>
      <c r="G430" t="s">
        <v>50</v>
      </c>
      <c r="H430" t="s">
        <v>93</v>
      </c>
      <c r="I430" t="s">
        <v>99</v>
      </c>
      <c r="J430" t="s">
        <v>87</v>
      </c>
      <c r="K430" t="s">
        <v>1495</v>
      </c>
      <c r="L430" t="s">
        <v>155</v>
      </c>
      <c r="M430">
        <v>2120.5409999127601</v>
      </c>
      <c r="N430">
        <v>0</v>
      </c>
      <c r="O430" t="s">
        <v>62</v>
      </c>
      <c r="P430">
        <v>4</v>
      </c>
      <c r="Q430" t="s">
        <v>55</v>
      </c>
      <c r="R430" t="s">
        <v>64</v>
      </c>
      <c r="S430">
        <v>10.8876069255163</v>
      </c>
      <c r="T430">
        <v>6.24475311975075</v>
      </c>
    </row>
    <row r="431" spans="1:20">
      <c r="A431" t="s">
        <v>1496</v>
      </c>
      <c r="B431" t="s">
        <v>778</v>
      </c>
      <c r="C431" t="s">
        <v>48</v>
      </c>
      <c r="D431">
        <v>46155.715566744402</v>
      </c>
      <c r="E431" s="9">
        <v>45966</v>
      </c>
      <c r="F431" t="s">
        <v>1497</v>
      </c>
      <c r="G431" t="s">
        <v>59</v>
      </c>
      <c r="H431" t="s">
        <v>38</v>
      </c>
      <c r="I431" t="s">
        <v>99</v>
      </c>
      <c r="J431" t="s">
        <v>60</v>
      </c>
      <c r="K431" t="s">
        <v>1498</v>
      </c>
      <c r="L431" t="s">
        <v>53</v>
      </c>
      <c r="M431">
        <v>3114.8818190031402</v>
      </c>
      <c r="N431">
        <v>0</v>
      </c>
      <c r="O431" t="s">
        <v>30</v>
      </c>
      <c r="P431">
        <v>3</v>
      </c>
      <c r="Q431" t="s">
        <v>95</v>
      </c>
      <c r="R431" t="s">
        <v>82</v>
      </c>
      <c r="S431">
        <v>16.676671648219301</v>
      </c>
      <c r="T431">
        <v>9.3821872395443204</v>
      </c>
    </row>
    <row r="432" spans="1:20">
      <c r="A432" t="s">
        <v>1499</v>
      </c>
      <c r="B432" t="s">
        <v>1500</v>
      </c>
      <c r="C432" t="s">
        <v>35</v>
      </c>
      <c r="D432">
        <v>13257.8217514674</v>
      </c>
      <c r="E432" s="9">
        <v>45966</v>
      </c>
      <c r="F432" t="s">
        <v>1501</v>
      </c>
      <c r="G432" t="s">
        <v>37</v>
      </c>
      <c r="H432" t="s">
        <v>25</v>
      </c>
      <c r="I432" t="s">
        <v>26</v>
      </c>
      <c r="J432" t="s">
        <v>27</v>
      </c>
      <c r="K432" t="s">
        <v>1502</v>
      </c>
      <c r="L432" t="s">
        <v>42</v>
      </c>
      <c r="M432">
        <v>2487.19340242215</v>
      </c>
      <c r="N432">
        <v>0</v>
      </c>
      <c r="O432" t="s">
        <v>54</v>
      </c>
      <c r="P432">
        <v>0</v>
      </c>
      <c r="R432" t="s">
        <v>82</v>
      </c>
      <c r="S432">
        <v>-13.4256635026114</v>
      </c>
      <c r="T432">
        <v>99.105650873908701</v>
      </c>
    </row>
    <row r="433" spans="1:20">
      <c r="A433" t="s">
        <v>1503</v>
      </c>
      <c r="B433" t="s">
        <v>1504</v>
      </c>
      <c r="C433" t="s">
        <v>48</v>
      </c>
      <c r="D433">
        <v>20458.426318705799</v>
      </c>
      <c r="E433" s="9">
        <v>45967</v>
      </c>
      <c r="F433" t="s">
        <v>1505</v>
      </c>
      <c r="G433" t="s">
        <v>24</v>
      </c>
      <c r="H433" t="s">
        <v>93</v>
      </c>
      <c r="I433" t="s">
        <v>99</v>
      </c>
      <c r="J433" t="s">
        <v>60</v>
      </c>
      <c r="K433" t="s">
        <v>1506</v>
      </c>
      <c r="L433" t="s">
        <v>53</v>
      </c>
      <c r="M433">
        <v>618.786399641456</v>
      </c>
      <c r="N433">
        <v>348.34449393659798</v>
      </c>
      <c r="O433" t="s">
        <v>30</v>
      </c>
      <c r="P433">
        <v>2</v>
      </c>
      <c r="Q433" t="s">
        <v>44</v>
      </c>
      <c r="R433" t="s">
        <v>32</v>
      </c>
      <c r="S433">
        <v>19.053919772675801</v>
      </c>
      <c r="T433">
        <v>3.7352936435554902</v>
      </c>
    </row>
    <row r="434" spans="1:20">
      <c r="A434" t="s">
        <v>1507</v>
      </c>
      <c r="B434" t="s">
        <v>663</v>
      </c>
      <c r="C434" t="s">
        <v>35</v>
      </c>
      <c r="D434">
        <v>25631.684976008299</v>
      </c>
      <c r="E434" s="9">
        <v>45967</v>
      </c>
      <c r="F434" t="s">
        <v>1508</v>
      </c>
      <c r="G434" t="s">
        <v>37</v>
      </c>
      <c r="H434" t="s">
        <v>106</v>
      </c>
      <c r="I434" t="s">
        <v>26</v>
      </c>
      <c r="J434" t="s">
        <v>60</v>
      </c>
      <c r="K434" t="s">
        <v>1509</v>
      </c>
      <c r="L434" t="s">
        <v>29</v>
      </c>
      <c r="M434">
        <v>1012.9484141839999</v>
      </c>
      <c r="N434">
        <v>152.047317985642</v>
      </c>
      <c r="O434" t="s">
        <v>43</v>
      </c>
      <c r="P434">
        <v>0</v>
      </c>
      <c r="Q434" t="s">
        <v>63</v>
      </c>
      <c r="R434" t="s">
        <v>133</v>
      </c>
      <c r="S434">
        <v>24.297712810194799</v>
      </c>
      <c r="T434">
        <v>76.487883008846893</v>
      </c>
    </row>
    <row r="435" spans="1:20">
      <c r="A435" t="s">
        <v>1510</v>
      </c>
      <c r="B435" t="s">
        <v>253</v>
      </c>
      <c r="C435" t="s">
        <v>35</v>
      </c>
      <c r="D435">
        <v>39611.7101895347</v>
      </c>
      <c r="E435" s="9">
        <v>45968</v>
      </c>
      <c r="F435" t="s">
        <v>1511</v>
      </c>
      <c r="G435" t="s">
        <v>24</v>
      </c>
      <c r="H435" t="s">
        <v>25</v>
      </c>
      <c r="I435" t="s">
        <v>39</v>
      </c>
      <c r="J435" t="s">
        <v>173</v>
      </c>
      <c r="K435" t="s">
        <v>1512</v>
      </c>
      <c r="L435" t="s">
        <v>29</v>
      </c>
      <c r="M435">
        <v>1600.66905907402</v>
      </c>
      <c r="N435">
        <v>400.06879137603801</v>
      </c>
      <c r="O435" t="s">
        <v>62</v>
      </c>
      <c r="P435">
        <v>3</v>
      </c>
      <c r="Q435" t="s">
        <v>95</v>
      </c>
      <c r="R435" t="s">
        <v>45</v>
      </c>
      <c r="S435">
        <v>-17.277309037021499</v>
      </c>
      <c r="T435">
        <v>29.582271858186299</v>
      </c>
    </row>
    <row r="436" spans="1:20">
      <c r="A436" t="s">
        <v>1513</v>
      </c>
      <c r="B436" t="s">
        <v>387</v>
      </c>
      <c r="C436" t="s">
        <v>35</v>
      </c>
      <c r="D436">
        <v>21159.599371579301</v>
      </c>
      <c r="E436" s="9">
        <v>45969</v>
      </c>
      <c r="F436" t="s">
        <v>1514</v>
      </c>
      <c r="G436" t="s">
        <v>163</v>
      </c>
      <c r="H436" t="s">
        <v>69</v>
      </c>
      <c r="I436" t="s">
        <v>39</v>
      </c>
      <c r="J436" t="s">
        <v>60</v>
      </c>
      <c r="K436" t="s">
        <v>1515</v>
      </c>
      <c r="L436" t="s">
        <v>42</v>
      </c>
      <c r="M436">
        <v>4218.4289692933799</v>
      </c>
      <c r="N436">
        <v>0</v>
      </c>
      <c r="O436" t="s">
        <v>62</v>
      </c>
      <c r="P436">
        <v>4</v>
      </c>
      <c r="Q436" t="s">
        <v>31</v>
      </c>
      <c r="R436" t="s">
        <v>102</v>
      </c>
      <c r="S436">
        <v>27.696121534492701</v>
      </c>
      <c r="T436">
        <v>39.882152692405697</v>
      </c>
    </row>
    <row r="437" spans="1:20">
      <c r="A437" t="s">
        <v>1516</v>
      </c>
      <c r="B437" t="s">
        <v>702</v>
      </c>
      <c r="C437" t="s">
        <v>48</v>
      </c>
      <c r="D437">
        <v>4317.3986832660303</v>
      </c>
      <c r="E437" s="9">
        <v>45970</v>
      </c>
      <c r="F437" t="s">
        <v>1517</v>
      </c>
      <c r="G437" t="s">
        <v>59</v>
      </c>
      <c r="H437" t="s">
        <v>93</v>
      </c>
      <c r="I437" t="s">
        <v>26</v>
      </c>
      <c r="J437" t="s">
        <v>40</v>
      </c>
      <c r="K437" t="s">
        <v>1256</v>
      </c>
      <c r="L437" t="s">
        <v>120</v>
      </c>
      <c r="M437">
        <v>2910.2484589816099</v>
      </c>
      <c r="N437">
        <v>0</v>
      </c>
      <c r="O437" t="s">
        <v>54</v>
      </c>
      <c r="P437">
        <v>0</v>
      </c>
      <c r="Q437" t="s">
        <v>95</v>
      </c>
      <c r="R437" t="s">
        <v>32</v>
      </c>
      <c r="S437">
        <v>-23.943139101837598</v>
      </c>
      <c r="T437">
        <v>51.260505302158798</v>
      </c>
    </row>
    <row r="438" spans="1:20">
      <c r="A438" t="s">
        <v>1518</v>
      </c>
      <c r="B438" t="s">
        <v>1519</v>
      </c>
      <c r="C438" t="s">
        <v>48</v>
      </c>
      <c r="D438">
        <v>37324.128824881001</v>
      </c>
      <c r="E438" s="9">
        <v>45971</v>
      </c>
      <c r="F438" t="s">
        <v>1520</v>
      </c>
      <c r="G438" t="s">
        <v>68</v>
      </c>
      <c r="H438" t="s">
        <v>106</v>
      </c>
      <c r="I438" t="s">
        <v>26</v>
      </c>
      <c r="J438" t="s">
        <v>60</v>
      </c>
      <c r="K438" t="s">
        <v>1521</v>
      </c>
      <c r="L438" t="s">
        <v>155</v>
      </c>
      <c r="M438">
        <v>2698.0850333767498</v>
      </c>
      <c r="N438">
        <v>0</v>
      </c>
      <c r="O438" t="s">
        <v>43</v>
      </c>
      <c r="P438">
        <v>4</v>
      </c>
      <c r="Q438" t="s">
        <v>31</v>
      </c>
      <c r="R438" t="s">
        <v>133</v>
      </c>
      <c r="S438">
        <v>-21.152843971505899</v>
      </c>
      <c r="T438">
        <v>29.854792598216399</v>
      </c>
    </row>
    <row r="439" spans="1:20">
      <c r="A439" t="s">
        <v>1522</v>
      </c>
      <c r="B439" t="s">
        <v>738</v>
      </c>
      <c r="C439" t="s">
        <v>35</v>
      </c>
      <c r="D439">
        <v>24290.440520802302</v>
      </c>
      <c r="E439" s="9">
        <v>45971</v>
      </c>
      <c r="F439" t="s">
        <v>1523</v>
      </c>
      <c r="G439" t="s">
        <v>37</v>
      </c>
      <c r="H439" t="s">
        <v>69</v>
      </c>
      <c r="I439" t="s">
        <v>75</v>
      </c>
      <c r="J439" t="s">
        <v>40</v>
      </c>
      <c r="K439" t="s">
        <v>1524</v>
      </c>
      <c r="L439" t="s">
        <v>29</v>
      </c>
      <c r="M439">
        <v>575.32164818042804</v>
      </c>
      <c r="N439">
        <v>464.27776644706802</v>
      </c>
      <c r="O439" t="s">
        <v>62</v>
      </c>
      <c r="P439">
        <v>4</v>
      </c>
      <c r="Q439" t="s">
        <v>44</v>
      </c>
      <c r="R439" t="s">
        <v>133</v>
      </c>
      <c r="S439">
        <v>-26.747295347640399</v>
      </c>
      <c r="T439">
        <v>61.549095966671899</v>
      </c>
    </row>
    <row r="440" spans="1:20">
      <c r="A440" t="s">
        <v>1525</v>
      </c>
      <c r="B440" t="s">
        <v>629</v>
      </c>
      <c r="C440" t="s">
        <v>85</v>
      </c>
      <c r="D440">
        <v>3860.4171115878698</v>
      </c>
      <c r="E440" s="9">
        <v>45972</v>
      </c>
      <c r="F440" t="s">
        <v>1526</v>
      </c>
      <c r="G440" t="s">
        <v>24</v>
      </c>
      <c r="H440" t="s">
        <v>25</v>
      </c>
      <c r="I440" t="s">
        <v>51</v>
      </c>
      <c r="J440" t="s">
        <v>60</v>
      </c>
      <c r="K440" t="s">
        <v>1527</v>
      </c>
      <c r="L440" t="s">
        <v>155</v>
      </c>
      <c r="M440">
        <v>1086.80605907208</v>
      </c>
      <c r="N440">
        <v>0</v>
      </c>
      <c r="O440" t="s">
        <v>62</v>
      </c>
      <c r="P440">
        <v>4</v>
      </c>
      <c r="Q440" t="s">
        <v>31</v>
      </c>
      <c r="R440" t="s">
        <v>64</v>
      </c>
      <c r="S440">
        <v>-28.023127905268201</v>
      </c>
      <c r="T440">
        <v>48.922990020461299</v>
      </c>
    </row>
    <row r="441" spans="1:20">
      <c r="A441" t="s">
        <v>1528</v>
      </c>
      <c r="B441" t="s">
        <v>399</v>
      </c>
      <c r="C441" t="s">
        <v>35</v>
      </c>
      <c r="D441">
        <v>1790.5700963050899</v>
      </c>
      <c r="E441" s="9">
        <v>45973</v>
      </c>
      <c r="F441" t="s">
        <v>1529</v>
      </c>
      <c r="G441" t="s">
        <v>59</v>
      </c>
      <c r="H441" t="s">
        <v>93</v>
      </c>
      <c r="I441" t="s">
        <v>39</v>
      </c>
      <c r="J441" t="s">
        <v>87</v>
      </c>
      <c r="K441" t="s">
        <v>1530</v>
      </c>
      <c r="L441" t="s">
        <v>155</v>
      </c>
      <c r="M441">
        <v>2953.2333161353699</v>
      </c>
      <c r="N441">
        <v>67.830733580188905</v>
      </c>
      <c r="O441" t="s">
        <v>101</v>
      </c>
      <c r="P441">
        <v>4</v>
      </c>
      <c r="Q441" t="s">
        <v>55</v>
      </c>
      <c r="R441" t="s">
        <v>32</v>
      </c>
      <c r="T441">
        <v>27.523610593112199</v>
      </c>
    </row>
    <row r="442" spans="1:20">
      <c r="A442" t="s">
        <v>1531</v>
      </c>
      <c r="B442" t="s">
        <v>850</v>
      </c>
      <c r="C442" t="s">
        <v>22</v>
      </c>
      <c r="D442">
        <v>42131.470361379303</v>
      </c>
      <c r="E442" s="9">
        <v>45973</v>
      </c>
      <c r="F442" t="s">
        <v>1532</v>
      </c>
      <c r="G442" t="s">
        <v>68</v>
      </c>
      <c r="H442" t="s">
        <v>93</v>
      </c>
      <c r="I442" t="s">
        <v>51</v>
      </c>
      <c r="J442" t="s">
        <v>173</v>
      </c>
      <c r="K442" t="s">
        <v>1533</v>
      </c>
      <c r="L442" t="s">
        <v>29</v>
      </c>
      <c r="M442">
        <v>278.01216522578801</v>
      </c>
      <c r="N442">
        <v>0</v>
      </c>
      <c r="O442" t="s">
        <v>62</v>
      </c>
      <c r="P442">
        <v>4</v>
      </c>
      <c r="Q442" t="s">
        <v>63</v>
      </c>
      <c r="R442" t="s">
        <v>45</v>
      </c>
      <c r="S442">
        <v>4.1685908797806404</v>
      </c>
      <c r="T442">
        <v>70.753543774544397</v>
      </c>
    </row>
    <row r="443" spans="1:20">
      <c r="A443" t="s">
        <v>1534</v>
      </c>
      <c r="B443" t="s">
        <v>1535</v>
      </c>
      <c r="C443" t="s">
        <v>35</v>
      </c>
      <c r="D443">
        <v>32181.9856243512</v>
      </c>
      <c r="E443" s="9">
        <v>45974</v>
      </c>
      <c r="F443" t="s">
        <v>1536</v>
      </c>
      <c r="G443" t="s">
        <v>163</v>
      </c>
      <c r="H443" t="s">
        <v>93</v>
      </c>
      <c r="I443" t="s">
        <v>26</v>
      </c>
      <c r="J443" t="s">
        <v>87</v>
      </c>
      <c r="K443" t="s">
        <v>1537</v>
      </c>
      <c r="L443" t="s">
        <v>29</v>
      </c>
      <c r="M443">
        <v>3966.8572478585802</v>
      </c>
      <c r="N443">
        <v>0</v>
      </c>
      <c r="O443" t="s">
        <v>54</v>
      </c>
      <c r="P443">
        <v>1</v>
      </c>
      <c r="R443" t="s">
        <v>32</v>
      </c>
      <c r="S443">
        <v>29.777808254713499</v>
      </c>
      <c r="T443">
        <v>76.330761521221106</v>
      </c>
    </row>
    <row r="444" spans="1:20">
      <c r="A444" t="s">
        <v>1538</v>
      </c>
      <c r="B444" t="s">
        <v>949</v>
      </c>
      <c r="C444" t="s">
        <v>35</v>
      </c>
      <c r="D444">
        <v>36347.211929246398</v>
      </c>
      <c r="E444" s="9">
        <v>45975</v>
      </c>
      <c r="F444" t="s">
        <v>1539</v>
      </c>
      <c r="G444" t="s">
        <v>68</v>
      </c>
      <c r="H444" t="s">
        <v>74</v>
      </c>
      <c r="I444" t="s">
        <v>39</v>
      </c>
      <c r="J444" t="s">
        <v>173</v>
      </c>
      <c r="K444" t="s">
        <v>1540</v>
      </c>
      <c r="L444" t="s">
        <v>29</v>
      </c>
      <c r="M444">
        <v>176.57050549418699</v>
      </c>
      <c r="N444">
        <v>252.96290007319701</v>
      </c>
      <c r="O444" t="s">
        <v>43</v>
      </c>
      <c r="P444">
        <v>1</v>
      </c>
      <c r="Q444" t="s">
        <v>44</v>
      </c>
      <c r="R444" t="s">
        <v>45</v>
      </c>
      <c r="S444">
        <v>-25.0540036788605</v>
      </c>
      <c r="T444">
        <v>68.105011173044502</v>
      </c>
    </row>
    <row r="445" spans="1:20">
      <c r="A445" t="s">
        <v>1541</v>
      </c>
      <c r="B445" t="s">
        <v>778</v>
      </c>
      <c r="C445" t="s">
        <v>35</v>
      </c>
      <c r="D445">
        <v>364.47031924050998</v>
      </c>
      <c r="E445" s="9">
        <v>45975</v>
      </c>
      <c r="F445" t="s">
        <v>1542</v>
      </c>
      <c r="G445" t="s">
        <v>92</v>
      </c>
      <c r="H445" t="s">
        <v>106</v>
      </c>
      <c r="I445" t="s">
        <v>75</v>
      </c>
      <c r="J445" t="s">
        <v>27</v>
      </c>
      <c r="K445" t="s">
        <v>1543</v>
      </c>
      <c r="L445" t="s">
        <v>81</v>
      </c>
      <c r="M445">
        <v>1913.2540644774299</v>
      </c>
      <c r="N445">
        <v>0</v>
      </c>
      <c r="O445" t="s">
        <v>43</v>
      </c>
      <c r="P445">
        <v>3</v>
      </c>
      <c r="Q445" t="s">
        <v>63</v>
      </c>
      <c r="R445" t="s">
        <v>82</v>
      </c>
      <c r="T445">
        <v>56.3867031891767</v>
      </c>
    </row>
    <row r="446" spans="1:20">
      <c r="A446" t="s">
        <v>1544</v>
      </c>
      <c r="B446" t="s">
        <v>1545</v>
      </c>
      <c r="C446" t="s">
        <v>85</v>
      </c>
      <c r="D446">
        <v>39009.962861922701</v>
      </c>
      <c r="E446" s="9">
        <v>45975</v>
      </c>
      <c r="F446" t="s">
        <v>1546</v>
      </c>
      <c r="G446" t="s">
        <v>141</v>
      </c>
      <c r="H446" t="s">
        <v>106</v>
      </c>
      <c r="I446" t="s">
        <v>26</v>
      </c>
      <c r="J446" t="s">
        <v>173</v>
      </c>
      <c r="K446" t="s">
        <v>1547</v>
      </c>
      <c r="L446" t="s">
        <v>29</v>
      </c>
      <c r="M446">
        <v>1134.67402012046</v>
      </c>
      <c r="N446">
        <v>27.550767579415499</v>
      </c>
      <c r="O446" t="s">
        <v>54</v>
      </c>
      <c r="P446">
        <v>0</v>
      </c>
      <c r="Q446" t="s">
        <v>95</v>
      </c>
      <c r="R446" t="s">
        <v>133</v>
      </c>
      <c r="S446">
        <v>11.930020226762</v>
      </c>
      <c r="T446">
        <v>91.485780592075997</v>
      </c>
    </row>
    <row r="447" spans="1:20">
      <c r="A447" t="s">
        <v>1548</v>
      </c>
      <c r="B447" t="s">
        <v>253</v>
      </c>
      <c r="C447" t="s">
        <v>35</v>
      </c>
      <c r="D447">
        <v>11053.575201539799</v>
      </c>
      <c r="E447" s="9">
        <v>45975</v>
      </c>
      <c r="F447" t="s">
        <v>1549</v>
      </c>
      <c r="G447" t="s">
        <v>163</v>
      </c>
      <c r="H447" t="s">
        <v>106</v>
      </c>
      <c r="I447" t="s">
        <v>26</v>
      </c>
      <c r="J447" t="s">
        <v>27</v>
      </c>
      <c r="K447" t="s">
        <v>1550</v>
      </c>
      <c r="L447" t="s">
        <v>29</v>
      </c>
      <c r="M447">
        <v>2427.4565810172098</v>
      </c>
      <c r="N447">
        <v>229.67182779697799</v>
      </c>
      <c r="O447" t="s">
        <v>30</v>
      </c>
      <c r="P447">
        <v>3</v>
      </c>
      <c r="Q447" t="s">
        <v>31</v>
      </c>
      <c r="R447" t="s">
        <v>32</v>
      </c>
      <c r="S447">
        <v>-28.797240028046101</v>
      </c>
      <c r="T447">
        <v>1.8927640511463499</v>
      </c>
    </row>
    <row r="448" spans="1:20">
      <c r="A448" t="s">
        <v>1551</v>
      </c>
      <c r="B448" t="s">
        <v>273</v>
      </c>
      <c r="C448" t="s">
        <v>85</v>
      </c>
      <c r="D448">
        <v>9304.6972838009206</v>
      </c>
      <c r="E448" s="9">
        <v>45976</v>
      </c>
      <c r="F448" t="s">
        <v>1552</v>
      </c>
      <c r="G448" t="s">
        <v>37</v>
      </c>
      <c r="H448" t="s">
        <v>69</v>
      </c>
      <c r="I448" t="s">
        <v>26</v>
      </c>
      <c r="J448" t="s">
        <v>87</v>
      </c>
      <c r="K448" t="s">
        <v>1553</v>
      </c>
      <c r="L448" t="s">
        <v>155</v>
      </c>
      <c r="M448">
        <v>407.77089048722399</v>
      </c>
      <c r="N448">
        <v>471.49139203556803</v>
      </c>
      <c r="O448" t="s">
        <v>30</v>
      </c>
      <c r="P448">
        <v>0</v>
      </c>
      <c r="Q448" t="s">
        <v>63</v>
      </c>
      <c r="R448" t="s">
        <v>133</v>
      </c>
      <c r="S448">
        <v>0.265484763806214</v>
      </c>
      <c r="T448">
        <v>47.8644870550525</v>
      </c>
    </row>
    <row r="449" spans="1:20">
      <c r="A449" t="s">
        <v>1554</v>
      </c>
      <c r="B449" t="s">
        <v>629</v>
      </c>
      <c r="C449" t="s">
        <v>22</v>
      </c>
      <c r="D449">
        <v>30136.5762374939</v>
      </c>
      <c r="E449" s="9">
        <v>45976</v>
      </c>
      <c r="F449" t="s">
        <v>1555</v>
      </c>
      <c r="G449" t="s">
        <v>37</v>
      </c>
      <c r="H449" t="s">
        <v>38</v>
      </c>
      <c r="I449" t="s">
        <v>99</v>
      </c>
      <c r="J449" t="s">
        <v>40</v>
      </c>
      <c r="K449" t="s">
        <v>1556</v>
      </c>
      <c r="L449" t="s">
        <v>155</v>
      </c>
      <c r="M449">
        <v>4720.6920129741302</v>
      </c>
      <c r="N449">
        <v>0</v>
      </c>
      <c r="O449" t="s">
        <v>54</v>
      </c>
      <c r="P449">
        <v>3</v>
      </c>
      <c r="Q449" t="s">
        <v>95</v>
      </c>
      <c r="R449" t="s">
        <v>32</v>
      </c>
      <c r="S449">
        <v>19.228140981651201</v>
      </c>
      <c r="T449">
        <v>81.190911495990505</v>
      </c>
    </row>
    <row r="450" spans="1:20">
      <c r="A450" t="s">
        <v>1557</v>
      </c>
      <c r="B450" t="s">
        <v>234</v>
      </c>
      <c r="C450" t="s">
        <v>35</v>
      </c>
      <c r="D450">
        <v>27188.180599609099</v>
      </c>
      <c r="E450" s="9">
        <v>45976</v>
      </c>
      <c r="F450" t="s">
        <v>1558</v>
      </c>
      <c r="G450" t="s">
        <v>50</v>
      </c>
      <c r="H450" t="s">
        <v>25</v>
      </c>
      <c r="I450" t="s">
        <v>26</v>
      </c>
      <c r="J450" t="s">
        <v>60</v>
      </c>
      <c r="K450" t="s">
        <v>1559</v>
      </c>
      <c r="L450" t="s">
        <v>42</v>
      </c>
      <c r="M450">
        <v>4207.9889149914998</v>
      </c>
      <c r="N450">
        <v>0</v>
      </c>
      <c r="O450" t="s">
        <v>30</v>
      </c>
      <c r="P450">
        <v>4</v>
      </c>
      <c r="Q450" t="s">
        <v>31</v>
      </c>
      <c r="R450" t="s">
        <v>32</v>
      </c>
      <c r="S450">
        <v>-14.5991645009842</v>
      </c>
      <c r="T450">
        <v>99.071255862310494</v>
      </c>
    </row>
    <row r="451" spans="1:20">
      <c r="A451" t="s">
        <v>1560</v>
      </c>
      <c r="B451" t="s">
        <v>104</v>
      </c>
      <c r="C451" t="s">
        <v>22</v>
      </c>
      <c r="D451">
        <v>16674.105991481501</v>
      </c>
      <c r="E451" s="9">
        <v>45977</v>
      </c>
      <c r="F451" t="s">
        <v>1561</v>
      </c>
      <c r="G451" t="s">
        <v>141</v>
      </c>
      <c r="H451" t="s">
        <v>25</v>
      </c>
      <c r="I451" t="s">
        <v>26</v>
      </c>
      <c r="J451" t="s">
        <v>173</v>
      </c>
      <c r="K451" t="s">
        <v>1562</v>
      </c>
      <c r="L451" t="s">
        <v>53</v>
      </c>
      <c r="M451">
        <v>3161.4036832040501</v>
      </c>
      <c r="N451">
        <v>233.630498003751</v>
      </c>
      <c r="O451" t="s">
        <v>54</v>
      </c>
      <c r="P451">
        <v>2</v>
      </c>
      <c r="Q451" t="s">
        <v>31</v>
      </c>
      <c r="R451" t="s">
        <v>45</v>
      </c>
      <c r="S451">
        <v>11.6443400118591</v>
      </c>
      <c r="T451">
        <v>59.970441340809998</v>
      </c>
    </row>
    <row r="452" spans="1:20">
      <c r="A452" t="s">
        <v>1563</v>
      </c>
      <c r="B452" t="s">
        <v>1446</v>
      </c>
      <c r="C452" t="s">
        <v>48</v>
      </c>
      <c r="D452">
        <v>29413.934851280301</v>
      </c>
      <c r="E452" s="9">
        <v>45977</v>
      </c>
      <c r="F452" t="s">
        <v>1564</v>
      </c>
      <c r="G452" t="s">
        <v>141</v>
      </c>
      <c r="H452" t="s">
        <v>106</v>
      </c>
      <c r="I452" t="s">
        <v>99</v>
      </c>
      <c r="J452" t="s">
        <v>173</v>
      </c>
      <c r="K452" t="s">
        <v>1565</v>
      </c>
      <c r="L452" t="s">
        <v>42</v>
      </c>
      <c r="M452">
        <v>4252.1731539065604</v>
      </c>
      <c r="N452">
        <v>319.55392349735303</v>
      </c>
      <c r="O452" t="s">
        <v>43</v>
      </c>
      <c r="P452">
        <v>4</v>
      </c>
      <c r="Q452" t="s">
        <v>95</v>
      </c>
      <c r="R452" t="s">
        <v>64</v>
      </c>
      <c r="S452">
        <v>11.2746054873195</v>
      </c>
      <c r="T452">
        <v>60.902894470691599</v>
      </c>
    </row>
    <row r="453" spans="1:20">
      <c r="A453" t="s">
        <v>1566</v>
      </c>
      <c r="B453" t="s">
        <v>338</v>
      </c>
      <c r="C453" t="s">
        <v>35</v>
      </c>
      <c r="D453">
        <v>36867.441522206202</v>
      </c>
      <c r="E453" s="9">
        <v>45980</v>
      </c>
      <c r="F453" t="s">
        <v>1567</v>
      </c>
      <c r="G453" t="s">
        <v>37</v>
      </c>
      <c r="H453" t="s">
        <v>38</v>
      </c>
      <c r="I453" t="s">
        <v>99</v>
      </c>
      <c r="J453" t="s">
        <v>27</v>
      </c>
      <c r="K453" t="s">
        <v>1568</v>
      </c>
      <c r="L453" t="s">
        <v>29</v>
      </c>
      <c r="M453">
        <v>899.40201697269003</v>
      </c>
      <c r="N453">
        <v>0</v>
      </c>
      <c r="O453" t="s">
        <v>101</v>
      </c>
      <c r="P453">
        <v>1</v>
      </c>
      <c r="Q453" t="s">
        <v>63</v>
      </c>
      <c r="R453" t="s">
        <v>82</v>
      </c>
      <c r="S453">
        <v>15.6186990662654</v>
      </c>
      <c r="T453">
        <v>47.9519237111354</v>
      </c>
    </row>
    <row r="454" spans="1:20">
      <c r="A454" t="s">
        <v>1569</v>
      </c>
      <c r="B454" t="s">
        <v>1535</v>
      </c>
      <c r="C454" t="s">
        <v>22</v>
      </c>
      <c r="D454">
        <v>41060.987510352301</v>
      </c>
      <c r="E454" s="9">
        <v>45980</v>
      </c>
      <c r="F454" t="s">
        <v>1570</v>
      </c>
      <c r="G454" t="s">
        <v>37</v>
      </c>
      <c r="H454" t="s">
        <v>106</v>
      </c>
      <c r="I454" t="s">
        <v>75</v>
      </c>
      <c r="J454" t="s">
        <v>27</v>
      </c>
      <c r="K454" t="s">
        <v>1571</v>
      </c>
      <c r="L454" t="s">
        <v>53</v>
      </c>
      <c r="M454">
        <v>571.75616548302605</v>
      </c>
      <c r="N454">
        <v>0</v>
      </c>
      <c r="O454" t="s">
        <v>54</v>
      </c>
      <c r="P454">
        <v>2</v>
      </c>
      <c r="R454" t="s">
        <v>45</v>
      </c>
      <c r="S454">
        <v>28.086734184367</v>
      </c>
      <c r="T454">
        <v>16.251564475711501</v>
      </c>
    </row>
    <row r="455" spans="1:20">
      <c r="A455" t="s">
        <v>1572</v>
      </c>
      <c r="B455" t="s">
        <v>84</v>
      </c>
      <c r="C455" t="s">
        <v>22</v>
      </c>
      <c r="D455">
        <v>10535.6264748179</v>
      </c>
      <c r="E455" s="9">
        <v>45981</v>
      </c>
      <c r="F455" t="s">
        <v>1573</v>
      </c>
      <c r="G455" t="s">
        <v>59</v>
      </c>
      <c r="H455" t="s">
        <v>38</v>
      </c>
      <c r="I455" t="s">
        <v>75</v>
      </c>
      <c r="J455" t="s">
        <v>87</v>
      </c>
      <c r="K455" t="s">
        <v>1553</v>
      </c>
      <c r="L455" t="s">
        <v>53</v>
      </c>
      <c r="M455">
        <v>4273.9796219660002</v>
      </c>
      <c r="N455">
        <v>422.43204270525399</v>
      </c>
      <c r="O455" t="s">
        <v>101</v>
      </c>
      <c r="P455">
        <v>4</v>
      </c>
      <c r="Q455" t="s">
        <v>55</v>
      </c>
      <c r="R455" t="s">
        <v>32</v>
      </c>
      <c r="S455">
        <v>16.455068862040299</v>
      </c>
      <c r="T455">
        <v>89.397266842442903</v>
      </c>
    </row>
    <row r="456" spans="1:20">
      <c r="A456" t="s">
        <v>1574</v>
      </c>
      <c r="B456" t="s">
        <v>562</v>
      </c>
      <c r="C456" t="s">
        <v>48</v>
      </c>
      <c r="D456">
        <v>28700.227377943698</v>
      </c>
      <c r="E456" s="9">
        <v>45981</v>
      </c>
      <c r="F456" t="s">
        <v>1575</v>
      </c>
      <c r="G456" t="s">
        <v>172</v>
      </c>
      <c r="H456" t="s">
        <v>106</v>
      </c>
      <c r="I456" t="s">
        <v>39</v>
      </c>
      <c r="J456" t="s">
        <v>40</v>
      </c>
      <c r="K456" t="s">
        <v>1576</v>
      </c>
      <c r="L456" t="s">
        <v>29</v>
      </c>
      <c r="N456">
        <v>0</v>
      </c>
      <c r="O456" t="s">
        <v>43</v>
      </c>
      <c r="P456">
        <v>3</v>
      </c>
      <c r="R456" t="s">
        <v>133</v>
      </c>
      <c r="S456">
        <v>10.110294069059</v>
      </c>
      <c r="T456">
        <v>36.250973132212401</v>
      </c>
    </row>
    <row r="457" spans="1:20">
      <c r="A457" t="s">
        <v>1577</v>
      </c>
      <c r="B457" t="s">
        <v>139</v>
      </c>
      <c r="C457" t="s">
        <v>85</v>
      </c>
      <c r="D457">
        <v>19634.957299054899</v>
      </c>
      <c r="E457" s="9">
        <v>45983</v>
      </c>
      <c r="F457" t="s">
        <v>1578</v>
      </c>
      <c r="G457" t="s">
        <v>24</v>
      </c>
      <c r="H457" t="s">
        <v>38</v>
      </c>
      <c r="I457" t="s">
        <v>26</v>
      </c>
      <c r="J457" t="s">
        <v>27</v>
      </c>
      <c r="K457" t="s">
        <v>1579</v>
      </c>
      <c r="L457" t="s">
        <v>81</v>
      </c>
      <c r="M457">
        <v>4888.6064781340201</v>
      </c>
      <c r="N457">
        <v>417.16239787469902</v>
      </c>
      <c r="O457" t="s">
        <v>43</v>
      </c>
      <c r="P457">
        <v>0</v>
      </c>
      <c r="Q457" t="s">
        <v>63</v>
      </c>
      <c r="R457" t="s">
        <v>45</v>
      </c>
      <c r="S457">
        <v>-12.424487795812601</v>
      </c>
      <c r="T457">
        <v>45.386861999593599</v>
      </c>
    </row>
    <row r="458" spans="1:20">
      <c r="A458" t="s">
        <v>1580</v>
      </c>
      <c r="B458" t="s">
        <v>203</v>
      </c>
      <c r="C458" t="s">
        <v>35</v>
      </c>
      <c r="D458">
        <v>24441.709060355999</v>
      </c>
      <c r="E458" s="9">
        <v>45985</v>
      </c>
      <c r="F458" t="s">
        <v>1581</v>
      </c>
      <c r="G458" t="s">
        <v>141</v>
      </c>
      <c r="H458" t="s">
        <v>106</v>
      </c>
      <c r="I458" t="s">
        <v>51</v>
      </c>
      <c r="J458" t="s">
        <v>27</v>
      </c>
      <c r="K458" t="s">
        <v>1582</v>
      </c>
      <c r="L458" t="s">
        <v>53</v>
      </c>
      <c r="M458">
        <v>4480.5301897991703</v>
      </c>
      <c r="N458">
        <v>78.181070822437505</v>
      </c>
      <c r="O458" t="s">
        <v>30</v>
      </c>
      <c r="P458">
        <v>0</v>
      </c>
      <c r="Q458" t="s">
        <v>55</v>
      </c>
      <c r="R458" t="s">
        <v>45</v>
      </c>
      <c r="S458">
        <v>2.44545011324138</v>
      </c>
      <c r="T458">
        <v>10.9636282535186</v>
      </c>
    </row>
    <row r="459" spans="1:20">
      <c r="A459" t="s">
        <v>1583</v>
      </c>
      <c r="B459" t="s">
        <v>1584</v>
      </c>
      <c r="C459" t="s">
        <v>85</v>
      </c>
      <c r="D459">
        <v>38714.342707746902</v>
      </c>
      <c r="E459" s="9">
        <v>45985</v>
      </c>
      <c r="F459" t="s">
        <v>1585</v>
      </c>
      <c r="G459" t="s">
        <v>68</v>
      </c>
      <c r="H459" t="s">
        <v>25</v>
      </c>
      <c r="I459" t="s">
        <v>51</v>
      </c>
      <c r="J459" t="s">
        <v>40</v>
      </c>
      <c r="K459" t="s">
        <v>1586</v>
      </c>
      <c r="L459" t="s">
        <v>42</v>
      </c>
      <c r="M459">
        <v>2937.9365191412498</v>
      </c>
      <c r="N459">
        <v>181.14674500010199</v>
      </c>
      <c r="O459" t="s">
        <v>54</v>
      </c>
      <c r="P459">
        <v>0</v>
      </c>
      <c r="R459" t="s">
        <v>32</v>
      </c>
      <c r="S459">
        <v>-12.5150916794371</v>
      </c>
      <c r="T459">
        <v>23.400528716037002</v>
      </c>
    </row>
    <row r="460" spans="1:20">
      <c r="A460" t="s">
        <v>1587</v>
      </c>
      <c r="B460" t="s">
        <v>1588</v>
      </c>
      <c r="C460" t="s">
        <v>35</v>
      </c>
      <c r="D460">
        <v>782.231044867165</v>
      </c>
      <c r="E460" s="9">
        <v>45985</v>
      </c>
      <c r="F460" t="s">
        <v>1589</v>
      </c>
      <c r="G460" t="s">
        <v>92</v>
      </c>
      <c r="H460" t="s">
        <v>25</v>
      </c>
      <c r="I460" t="s">
        <v>26</v>
      </c>
      <c r="J460" t="s">
        <v>60</v>
      </c>
      <c r="K460" t="s">
        <v>609</v>
      </c>
      <c r="L460" t="s">
        <v>29</v>
      </c>
      <c r="M460">
        <v>171.859020014131</v>
      </c>
      <c r="N460">
        <v>0</v>
      </c>
      <c r="O460" t="s">
        <v>30</v>
      </c>
      <c r="P460">
        <v>1</v>
      </c>
      <c r="R460" t="s">
        <v>45</v>
      </c>
      <c r="S460">
        <v>-12.139274486257699</v>
      </c>
      <c r="T460">
        <v>70.565933387394693</v>
      </c>
    </row>
    <row r="461" spans="1:20">
      <c r="A461" t="s">
        <v>1590</v>
      </c>
      <c r="B461" t="s">
        <v>234</v>
      </c>
      <c r="C461" t="s">
        <v>85</v>
      </c>
      <c r="D461">
        <v>17212.0505274852</v>
      </c>
      <c r="E461" s="9">
        <v>45986</v>
      </c>
      <c r="F461" t="s">
        <v>1591</v>
      </c>
      <c r="G461" t="s">
        <v>172</v>
      </c>
      <c r="H461" t="s">
        <v>69</v>
      </c>
      <c r="I461" t="s">
        <v>75</v>
      </c>
      <c r="J461" t="s">
        <v>40</v>
      </c>
      <c r="K461" t="s">
        <v>1592</v>
      </c>
      <c r="L461" t="s">
        <v>81</v>
      </c>
      <c r="M461">
        <v>4977.5970541167299</v>
      </c>
      <c r="N461">
        <v>0</v>
      </c>
      <c r="O461" t="s">
        <v>54</v>
      </c>
      <c r="P461">
        <v>1</v>
      </c>
      <c r="Q461" t="s">
        <v>55</v>
      </c>
      <c r="R461" t="s">
        <v>45</v>
      </c>
      <c r="S461">
        <v>22.4992612831591</v>
      </c>
      <c r="T461">
        <v>3.3545871412157799</v>
      </c>
    </row>
    <row r="462" spans="1:20">
      <c r="A462" t="s">
        <v>1593</v>
      </c>
      <c r="B462" t="s">
        <v>1176</v>
      </c>
      <c r="C462" t="s">
        <v>35</v>
      </c>
      <c r="D462">
        <v>18926.569665579402</v>
      </c>
      <c r="E462" s="9">
        <v>45987</v>
      </c>
      <c r="F462" t="s">
        <v>1594</v>
      </c>
      <c r="G462" t="s">
        <v>181</v>
      </c>
      <c r="H462" t="s">
        <v>106</v>
      </c>
      <c r="I462" t="s">
        <v>99</v>
      </c>
      <c r="J462" t="s">
        <v>40</v>
      </c>
      <c r="K462" t="s">
        <v>1595</v>
      </c>
      <c r="L462" t="s">
        <v>29</v>
      </c>
      <c r="M462">
        <v>3399.39094235824</v>
      </c>
      <c r="N462">
        <v>0</v>
      </c>
      <c r="O462" t="s">
        <v>62</v>
      </c>
      <c r="P462">
        <v>1</v>
      </c>
      <c r="Q462" t="s">
        <v>95</v>
      </c>
      <c r="R462" t="s">
        <v>82</v>
      </c>
      <c r="S462">
        <v>-9.2240375079150905</v>
      </c>
      <c r="T462">
        <v>32.226039381948503</v>
      </c>
    </row>
    <row r="463" spans="1:20">
      <c r="A463" t="s">
        <v>1596</v>
      </c>
      <c r="B463" t="s">
        <v>1368</v>
      </c>
      <c r="C463" t="s">
        <v>85</v>
      </c>
      <c r="D463">
        <v>44992.405117536102</v>
      </c>
      <c r="E463" s="9">
        <v>45989</v>
      </c>
      <c r="F463" t="s">
        <v>1597</v>
      </c>
      <c r="G463" t="s">
        <v>50</v>
      </c>
      <c r="H463" t="s">
        <v>69</v>
      </c>
      <c r="I463" t="s">
        <v>26</v>
      </c>
      <c r="J463" t="s">
        <v>60</v>
      </c>
      <c r="K463" t="s">
        <v>1598</v>
      </c>
      <c r="L463" t="s">
        <v>53</v>
      </c>
      <c r="N463">
        <v>0</v>
      </c>
      <c r="O463" t="s">
        <v>43</v>
      </c>
      <c r="P463">
        <v>2</v>
      </c>
      <c r="Q463" t="s">
        <v>44</v>
      </c>
      <c r="R463" t="s">
        <v>133</v>
      </c>
      <c r="S463">
        <v>21.2554836932364</v>
      </c>
      <c r="T463">
        <v>58.186526650470803</v>
      </c>
    </row>
    <row r="464" spans="1:20">
      <c r="A464" t="s">
        <v>1599</v>
      </c>
      <c r="B464" t="s">
        <v>432</v>
      </c>
      <c r="C464" t="s">
        <v>22</v>
      </c>
      <c r="D464">
        <v>36104.489769983098</v>
      </c>
      <c r="E464" s="9">
        <v>45989</v>
      </c>
      <c r="F464" t="s">
        <v>1600</v>
      </c>
      <c r="G464" t="s">
        <v>163</v>
      </c>
      <c r="H464" t="s">
        <v>38</v>
      </c>
      <c r="I464" t="s">
        <v>99</v>
      </c>
      <c r="J464" t="s">
        <v>40</v>
      </c>
      <c r="K464" t="s">
        <v>1601</v>
      </c>
      <c r="L464" t="s">
        <v>120</v>
      </c>
      <c r="M464">
        <v>3417.90284812448</v>
      </c>
      <c r="N464">
        <v>0</v>
      </c>
      <c r="O464" t="s">
        <v>62</v>
      </c>
      <c r="P464">
        <v>4</v>
      </c>
      <c r="Q464" t="s">
        <v>31</v>
      </c>
      <c r="R464" t="s">
        <v>64</v>
      </c>
      <c r="S464">
        <v>27.546737519777601</v>
      </c>
      <c r="T464">
        <v>58.915637739378802</v>
      </c>
    </row>
    <row r="465" spans="1:20">
      <c r="A465" t="s">
        <v>1602</v>
      </c>
      <c r="B465" t="s">
        <v>1603</v>
      </c>
      <c r="C465" t="s">
        <v>35</v>
      </c>
      <c r="D465">
        <v>1687.05360610974</v>
      </c>
      <c r="E465" s="9">
        <v>45990</v>
      </c>
      <c r="F465" t="s">
        <v>1604</v>
      </c>
      <c r="G465" t="s">
        <v>141</v>
      </c>
      <c r="H465" t="s">
        <v>38</v>
      </c>
      <c r="I465" t="s">
        <v>51</v>
      </c>
      <c r="J465" t="s">
        <v>173</v>
      </c>
      <c r="K465" t="s">
        <v>1605</v>
      </c>
      <c r="L465" t="s">
        <v>81</v>
      </c>
      <c r="M465">
        <v>4933.4874148663303</v>
      </c>
      <c r="N465">
        <v>0</v>
      </c>
      <c r="O465" t="s">
        <v>54</v>
      </c>
      <c r="P465">
        <v>4</v>
      </c>
      <c r="R465" t="s">
        <v>133</v>
      </c>
      <c r="S465">
        <v>-12.7368939305982</v>
      </c>
      <c r="T465">
        <v>15.6426918821619</v>
      </c>
    </row>
    <row r="466" spans="1:20">
      <c r="A466" t="s">
        <v>1606</v>
      </c>
      <c r="B466" t="s">
        <v>360</v>
      </c>
      <c r="C466" t="s">
        <v>48</v>
      </c>
      <c r="D466">
        <v>32368.579463946498</v>
      </c>
      <c r="E466" s="9">
        <v>45991</v>
      </c>
      <c r="F466" t="s">
        <v>1607</v>
      </c>
      <c r="G466" t="s">
        <v>68</v>
      </c>
      <c r="H466" t="s">
        <v>74</v>
      </c>
      <c r="I466" t="s">
        <v>39</v>
      </c>
      <c r="J466" t="s">
        <v>27</v>
      </c>
      <c r="K466" t="s">
        <v>1608</v>
      </c>
      <c r="L466" t="s">
        <v>155</v>
      </c>
      <c r="M466">
        <v>4075.0808930815301</v>
      </c>
      <c r="N466">
        <v>121.589990132113</v>
      </c>
      <c r="O466" t="s">
        <v>62</v>
      </c>
      <c r="P466">
        <v>1</v>
      </c>
      <c r="Q466" t="s">
        <v>31</v>
      </c>
      <c r="R466" t="s">
        <v>133</v>
      </c>
      <c r="S466">
        <v>-9.4786401451210995</v>
      </c>
      <c r="T466">
        <v>0.98468250120109502</v>
      </c>
    </row>
    <row r="467" spans="1:20">
      <c r="A467" t="s">
        <v>1609</v>
      </c>
      <c r="B467" t="s">
        <v>459</v>
      </c>
      <c r="C467" t="s">
        <v>85</v>
      </c>
      <c r="D467">
        <v>23038.107486780402</v>
      </c>
      <c r="E467" s="9">
        <v>45992</v>
      </c>
      <c r="F467" t="s">
        <v>1610</v>
      </c>
      <c r="G467" t="s">
        <v>181</v>
      </c>
      <c r="H467" t="s">
        <v>38</v>
      </c>
      <c r="I467" t="s">
        <v>51</v>
      </c>
      <c r="J467" t="s">
        <v>87</v>
      </c>
      <c r="K467" t="s">
        <v>1611</v>
      </c>
      <c r="L467" t="s">
        <v>53</v>
      </c>
      <c r="M467">
        <v>551.83022022582497</v>
      </c>
      <c r="N467">
        <v>229.651844106537</v>
      </c>
      <c r="O467" t="s">
        <v>101</v>
      </c>
      <c r="P467">
        <v>0</v>
      </c>
      <c r="R467" t="s">
        <v>133</v>
      </c>
      <c r="S467">
        <v>14.9043806643023</v>
      </c>
      <c r="T467">
        <v>10.226428099711599</v>
      </c>
    </row>
    <row r="468" spans="1:20">
      <c r="A468" t="s">
        <v>1612</v>
      </c>
      <c r="B468" t="s">
        <v>542</v>
      </c>
      <c r="C468" t="s">
        <v>35</v>
      </c>
      <c r="D468">
        <v>16707.507717033001</v>
      </c>
      <c r="E468" s="9">
        <v>45992</v>
      </c>
      <c r="F468" t="s">
        <v>1613</v>
      </c>
      <c r="G468" t="s">
        <v>50</v>
      </c>
      <c r="H468" t="s">
        <v>93</v>
      </c>
      <c r="I468" t="s">
        <v>39</v>
      </c>
      <c r="J468" t="s">
        <v>60</v>
      </c>
      <c r="K468" t="s">
        <v>1614</v>
      </c>
      <c r="L468" t="s">
        <v>120</v>
      </c>
      <c r="M468">
        <v>3559.0506082279098</v>
      </c>
      <c r="N468">
        <v>0</v>
      </c>
      <c r="O468" t="s">
        <v>43</v>
      </c>
      <c r="P468">
        <v>2</v>
      </c>
      <c r="Q468" t="s">
        <v>55</v>
      </c>
      <c r="R468" t="s">
        <v>45</v>
      </c>
      <c r="S468">
        <v>-1.19888940932275</v>
      </c>
      <c r="T468">
        <v>50.645637703651403</v>
      </c>
    </row>
    <row r="469" spans="1:20">
      <c r="A469" t="s">
        <v>1615</v>
      </c>
      <c r="B469" t="s">
        <v>721</v>
      </c>
      <c r="C469" t="s">
        <v>85</v>
      </c>
      <c r="D469">
        <v>41475.294613255101</v>
      </c>
      <c r="E469" s="9">
        <v>45992</v>
      </c>
      <c r="F469" t="s">
        <v>1616</v>
      </c>
      <c r="G469" t="s">
        <v>163</v>
      </c>
      <c r="H469" t="s">
        <v>38</v>
      </c>
      <c r="I469" t="s">
        <v>26</v>
      </c>
      <c r="J469" t="s">
        <v>60</v>
      </c>
      <c r="K469" t="s">
        <v>1617</v>
      </c>
      <c r="L469" t="s">
        <v>42</v>
      </c>
      <c r="M469">
        <v>1632.7288172680901</v>
      </c>
      <c r="N469">
        <v>272.40054263804899</v>
      </c>
      <c r="O469" t="s">
        <v>43</v>
      </c>
      <c r="P469">
        <v>0</v>
      </c>
      <c r="Q469" t="s">
        <v>95</v>
      </c>
      <c r="R469" t="s">
        <v>102</v>
      </c>
      <c r="S469">
        <v>4.26558974607088</v>
      </c>
      <c r="T469">
        <v>63.044811565799002</v>
      </c>
    </row>
    <row r="470" spans="1:20">
      <c r="A470" t="s">
        <v>1612</v>
      </c>
      <c r="B470" t="s">
        <v>542</v>
      </c>
      <c r="C470" t="s">
        <v>35</v>
      </c>
      <c r="D470">
        <v>16707.507717033001</v>
      </c>
      <c r="E470" s="9">
        <v>45992</v>
      </c>
      <c r="F470" t="s">
        <v>1613</v>
      </c>
      <c r="G470" t="s">
        <v>50</v>
      </c>
      <c r="H470" t="s">
        <v>93</v>
      </c>
      <c r="I470" t="s">
        <v>39</v>
      </c>
      <c r="J470" t="s">
        <v>60</v>
      </c>
      <c r="K470" t="s">
        <v>1614</v>
      </c>
      <c r="L470" t="s">
        <v>120</v>
      </c>
      <c r="M470">
        <v>3559.0506082279098</v>
      </c>
      <c r="N470">
        <v>0</v>
      </c>
      <c r="O470" t="s">
        <v>43</v>
      </c>
      <c r="P470">
        <v>2</v>
      </c>
      <c r="Q470" t="s">
        <v>55</v>
      </c>
      <c r="R470" t="s">
        <v>45</v>
      </c>
      <c r="S470">
        <v>-1.19888940932275</v>
      </c>
      <c r="T470">
        <v>50.645637703651403</v>
      </c>
    </row>
    <row r="471" spans="1:20">
      <c r="A471" t="s">
        <v>1618</v>
      </c>
      <c r="B471" t="s">
        <v>542</v>
      </c>
      <c r="C471" t="s">
        <v>22</v>
      </c>
      <c r="D471">
        <v>35390.7817726578</v>
      </c>
      <c r="E471" s="9">
        <v>45993</v>
      </c>
      <c r="F471" t="s">
        <v>1619</v>
      </c>
      <c r="G471" t="s">
        <v>92</v>
      </c>
      <c r="H471" t="s">
        <v>25</v>
      </c>
      <c r="I471" t="s">
        <v>26</v>
      </c>
      <c r="J471" t="s">
        <v>173</v>
      </c>
      <c r="K471" t="s">
        <v>1620</v>
      </c>
      <c r="L471" t="s">
        <v>81</v>
      </c>
      <c r="M471">
        <v>1573.12892627973</v>
      </c>
      <c r="N471">
        <v>315.86120916329202</v>
      </c>
      <c r="O471" t="s">
        <v>30</v>
      </c>
      <c r="P471">
        <v>1</v>
      </c>
      <c r="Q471" t="s">
        <v>44</v>
      </c>
      <c r="R471" t="s">
        <v>133</v>
      </c>
      <c r="S471">
        <v>-3.5866964246300901</v>
      </c>
      <c r="T471">
        <v>44.577874755947001</v>
      </c>
    </row>
    <row r="472" spans="1:20">
      <c r="A472" t="s">
        <v>1621</v>
      </c>
      <c r="B472" t="s">
        <v>289</v>
      </c>
      <c r="C472" t="s">
        <v>85</v>
      </c>
      <c r="D472">
        <v>1248.8279789031101</v>
      </c>
      <c r="E472" s="9">
        <v>45994</v>
      </c>
      <c r="F472" t="s">
        <v>1622</v>
      </c>
      <c r="G472" t="s">
        <v>50</v>
      </c>
      <c r="H472" t="s">
        <v>93</v>
      </c>
      <c r="I472" t="s">
        <v>99</v>
      </c>
      <c r="J472" t="s">
        <v>40</v>
      </c>
      <c r="K472" t="s">
        <v>1623</v>
      </c>
      <c r="L472" t="s">
        <v>53</v>
      </c>
      <c r="M472">
        <v>1341.54696926833</v>
      </c>
      <c r="N472">
        <v>0</v>
      </c>
      <c r="O472" t="s">
        <v>43</v>
      </c>
      <c r="P472">
        <v>3</v>
      </c>
      <c r="Q472" t="s">
        <v>95</v>
      </c>
      <c r="R472" t="s">
        <v>102</v>
      </c>
      <c r="S472">
        <v>10.7272933356147</v>
      </c>
      <c r="T472">
        <v>57.099157132597902</v>
      </c>
    </row>
    <row r="473" spans="1:20">
      <c r="A473" t="s">
        <v>1624</v>
      </c>
      <c r="B473" t="s">
        <v>139</v>
      </c>
      <c r="C473" t="s">
        <v>22</v>
      </c>
      <c r="D473">
        <v>14772.829493126501</v>
      </c>
      <c r="E473" s="9">
        <v>45995</v>
      </c>
      <c r="F473" t="s">
        <v>1625</v>
      </c>
      <c r="G473" t="s">
        <v>24</v>
      </c>
      <c r="H473" t="s">
        <v>106</v>
      </c>
      <c r="I473" t="s">
        <v>99</v>
      </c>
      <c r="J473" t="s">
        <v>173</v>
      </c>
      <c r="K473" t="s">
        <v>1626</v>
      </c>
      <c r="L473" t="s">
        <v>155</v>
      </c>
      <c r="M473">
        <v>2016.4937905602801</v>
      </c>
      <c r="N473">
        <v>170.48098682149401</v>
      </c>
      <c r="O473" t="s">
        <v>43</v>
      </c>
      <c r="P473">
        <v>2</v>
      </c>
      <c r="Q473" t="s">
        <v>95</v>
      </c>
      <c r="R473" t="s">
        <v>64</v>
      </c>
      <c r="S473">
        <v>21.837289320570601</v>
      </c>
      <c r="T473">
        <v>76.898019522862995</v>
      </c>
    </row>
    <row r="474" spans="1:20">
      <c r="A474" t="s">
        <v>1627</v>
      </c>
      <c r="B474" t="s">
        <v>395</v>
      </c>
      <c r="C474" t="s">
        <v>48</v>
      </c>
      <c r="D474">
        <v>17771.918872577</v>
      </c>
      <c r="E474" s="9">
        <v>45995</v>
      </c>
      <c r="F474" t="s">
        <v>1628</v>
      </c>
      <c r="G474" t="s">
        <v>163</v>
      </c>
      <c r="H474" t="s">
        <v>38</v>
      </c>
      <c r="I474" t="s">
        <v>75</v>
      </c>
      <c r="J474" t="s">
        <v>40</v>
      </c>
      <c r="K474" t="s">
        <v>1629</v>
      </c>
      <c r="L474" t="s">
        <v>53</v>
      </c>
      <c r="M474">
        <v>401.033999465497</v>
      </c>
      <c r="N474">
        <v>0</v>
      </c>
      <c r="O474" t="s">
        <v>101</v>
      </c>
      <c r="P474">
        <v>4</v>
      </c>
      <c r="Q474" t="s">
        <v>55</v>
      </c>
      <c r="R474" t="s">
        <v>45</v>
      </c>
      <c r="S474">
        <v>15.4455062023995</v>
      </c>
      <c r="T474">
        <v>14.152120244996</v>
      </c>
    </row>
    <row r="475" spans="1:20">
      <c r="A475" t="s">
        <v>1630</v>
      </c>
      <c r="B475" t="s">
        <v>1231</v>
      </c>
      <c r="C475" t="s">
        <v>48</v>
      </c>
      <c r="D475">
        <v>42120.361609433603</v>
      </c>
      <c r="E475" s="9">
        <v>45997</v>
      </c>
      <c r="F475" t="s">
        <v>1631</v>
      </c>
      <c r="G475" t="s">
        <v>50</v>
      </c>
      <c r="H475" t="s">
        <v>69</v>
      </c>
      <c r="I475" t="s">
        <v>26</v>
      </c>
      <c r="J475" t="s">
        <v>40</v>
      </c>
      <c r="K475" t="s">
        <v>1632</v>
      </c>
      <c r="L475" t="s">
        <v>53</v>
      </c>
      <c r="M475">
        <v>4634.7157493275099</v>
      </c>
      <c r="N475">
        <v>388.86395503389701</v>
      </c>
      <c r="O475" t="s">
        <v>62</v>
      </c>
      <c r="P475">
        <v>2</v>
      </c>
      <c r="Q475" t="s">
        <v>95</v>
      </c>
      <c r="R475" t="s">
        <v>102</v>
      </c>
      <c r="S475">
        <v>15.837791779537101</v>
      </c>
      <c r="T475">
        <v>83.787327011936299</v>
      </c>
    </row>
    <row r="476" spans="1:20">
      <c r="A476" t="s">
        <v>1633</v>
      </c>
      <c r="B476" t="s">
        <v>21</v>
      </c>
      <c r="C476" t="s">
        <v>48</v>
      </c>
      <c r="D476">
        <v>23003.550502049002</v>
      </c>
      <c r="E476" s="9">
        <v>45997</v>
      </c>
      <c r="F476" t="s">
        <v>1634</v>
      </c>
      <c r="G476" t="s">
        <v>92</v>
      </c>
      <c r="H476" t="s">
        <v>106</v>
      </c>
      <c r="I476" t="s">
        <v>39</v>
      </c>
      <c r="J476" t="s">
        <v>173</v>
      </c>
      <c r="K476" t="s">
        <v>1635</v>
      </c>
      <c r="L476" t="s">
        <v>53</v>
      </c>
      <c r="M476">
        <v>2610.60273665365</v>
      </c>
      <c r="N476">
        <v>0</v>
      </c>
      <c r="O476" t="s">
        <v>101</v>
      </c>
      <c r="P476">
        <v>3</v>
      </c>
      <c r="Q476" t="s">
        <v>95</v>
      </c>
      <c r="R476" t="s">
        <v>133</v>
      </c>
      <c r="S476">
        <v>-11.9164922540185</v>
      </c>
      <c r="T476">
        <v>40.796260220572599</v>
      </c>
    </row>
    <row r="477" spans="1:20">
      <c r="A477" t="s">
        <v>1636</v>
      </c>
      <c r="B477" t="s">
        <v>1493</v>
      </c>
      <c r="C477" t="s">
        <v>22</v>
      </c>
      <c r="D477">
        <v>34913.611927476901</v>
      </c>
      <c r="E477" s="9">
        <v>46001</v>
      </c>
      <c r="F477" t="s">
        <v>460</v>
      </c>
      <c r="G477" t="s">
        <v>141</v>
      </c>
      <c r="H477" t="s">
        <v>106</v>
      </c>
      <c r="I477" t="s">
        <v>51</v>
      </c>
      <c r="J477" t="s">
        <v>40</v>
      </c>
      <c r="K477" t="s">
        <v>1637</v>
      </c>
      <c r="L477" t="s">
        <v>155</v>
      </c>
      <c r="M477">
        <v>365.23959913745801</v>
      </c>
      <c r="N477">
        <v>0</v>
      </c>
      <c r="O477" t="s">
        <v>43</v>
      </c>
      <c r="P477">
        <v>4</v>
      </c>
      <c r="Q477" t="s">
        <v>55</v>
      </c>
      <c r="R477" t="s">
        <v>82</v>
      </c>
      <c r="S477">
        <v>23.472047844108602</v>
      </c>
      <c r="T477">
        <v>11.9888031483845</v>
      </c>
    </row>
    <row r="478" spans="1:20">
      <c r="A478" t="s">
        <v>1638</v>
      </c>
      <c r="B478" t="s">
        <v>261</v>
      </c>
      <c r="C478" t="s">
        <v>35</v>
      </c>
      <c r="D478">
        <v>21993.359301878099</v>
      </c>
      <c r="E478" s="9">
        <v>46001</v>
      </c>
      <c r="F478" t="s">
        <v>1639</v>
      </c>
      <c r="G478" t="s">
        <v>50</v>
      </c>
      <c r="H478" t="s">
        <v>25</v>
      </c>
      <c r="I478" t="s">
        <v>39</v>
      </c>
      <c r="J478" t="s">
        <v>173</v>
      </c>
      <c r="K478" t="s">
        <v>1640</v>
      </c>
      <c r="L478" t="s">
        <v>29</v>
      </c>
      <c r="M478">
        <v>1158.42670959312</v>
      </c>
      <c r="N478">
        <v>0</v>
      </c>
      <c r="O478" t="s">
        <v>101</v>
      </c>
      <c r="P478">
        <v>0</v>
      </c>
      <c r="Q478" t="s">
        <v>55</v>
      </c>
      <c r="R478" t="s">
        <v>32</v>
      </c>
      <c r="S478">
        <v>27.973543542349201</v>
      </c>
      <c r="T478">
        <v>18.657849925364101</v>
      </c>
    </row>
    <row r="479" spans="1:20">
      <c r="A479" t="s">
        <v>1641</v>
      </c>
      <c r="B479" t="s">
        <v>1642</v>
      </c>
      <c r="C479" t="s">
        <v>35</v>
      </c>
      <c r="D479">
        <v>19926.173961334101</v>
      </c>
      <c r="E479" s="9">
        <v>46001</v>
      </c>
      <c r="F479" t="s">
        <v>1643</v>
      </c>
      <c r="G479" t="s">
        <v>68</v>
      </c>
      <c r="H479" t="s">
        <v>93</v>
      </c>
      <c r="I479" t="s">
        <v>39</v>
      </c>
      <c r="J479" t="s">
        <v>60</v>
      </c>
      <c r="K479" t="s">
        <v>1644</v>
      </c>
      <c r="L479" t="s">
        <v>53</v>
      </c>
      <c r="M479">
        <v>3640.1710675550498</v>
      </c>
      <c r="N479">
        <v>417.48689284148099</v>
      </c>
      <c r="O479" t="s">
        <v>43</v>
      </c>
      <c r="P479">
        <v>0</v>
      </c>
      <c r="Q479" t="s">
        <v>44</v>
      </c>
      <c r="R479" t="s">
        <v>64</v>
      </c>
      <c r="S479">
        <v>-0.25855378627716902</v>
      </c>
      <c r="T479">
        <v>29.2303046554837</v>
      </c>
    </row>
    <row r="480" spans="1:20">
      <c r="A480" t="s">
        <v>1645</v>
      </c>
      <c r="B480" t="s">
        <v>383</v>
      </c>
      <c r="C480" t="s">
        <v>35</v>
      </c>
      <c r="D480">
        <v>41107.352778537999</v>
      </c>
      <c r="E480" s="9">
        <v>46001</v>
      </c>
      <c r="F480" t="s">
        <v>1646</v>
      </c>
      <c r="G480" t="s">
        <v>92</v>
      </c>
      <c r="H480" t="s">
        <v>74</v>
      </c>
      <c r="I480" t="s">
        <v>26</v>
      </c>
      <c r="J480" t="s">
        <v>40</v>
      </c>
      <c r="K480" t="s">
        <v>1647</v>
      </c>
      <c r="L480" t="s">
        <v>29</v>
      </c>
      <c r="M480">
        <v>1482.73243009263</v>
      </c>
      <c r="N480">
        <v>0</v>
      </c>
      <c r="O480" t="s">
        <v>54</v>
      </c>
      <c r="P480">
        <v>3</v>
      </c>
      <c r="Q480" t="s">
        <v>55</v>
      </c>
      <c r="R480" t="s">
        <v>45</v>
      </c>
      <c r="S480">
        <v>0.51164590641435104</v>
      </c>
      <c r="T480">
        <v>18.985266027096898</v>
      </c>
    </row>
    <row r="481" spans="1:20">
      <c r="A481" t="s">
        <v>1648</v>
      </c>
      <c r="B481" t="s">
        <v>349</v>
      </c>
      <c r="C481" t="s">
        <v>22</v>
      </c>
      <c r="D481">
        <v>10166.350070278801</v>
      </c>
      <c r="E481" s="9">
        <v>46002</v>
      </c>
      <c r="F481" t="s">
        <v>1649</v>
      </c>
      <c r="G481" t="s">
        <v>141</v>
      </c>
      <c r="H481" t="s">
        <v>106</v>
      </c>
      <c r="I481" t="s">
        <v>75</v>
      </c>
      <c r="J481" t="s">
        <v>60</v>
      </c>
      <c r="K481" t="s">
        <v>1650</v>
      </c>
      <c r="L481" t="s">
        <v>120</v>
      </c>
      <c r="M481">
        <v>1408.80803386004</v>
      </c>
      <c r="N481">
        <v>0</v>
      </c>
      <c r="O481" t="s">
        <v>62</v>
      </c>
      <c r="P481">
        <v>2</v>
      </c>
      <c r="Q481" t="s">
        <v>31</v>
      </c>
      <c r="R481" t="s">
        <v>45</v>
      </c>
      <c r="S481">
        <v>19.020029009857801</v>
      </c>
      <c r="T481">
        <v>57.717162662399602</v>
      </c>
    </row>
    <row r="482" spans="1:20">
      <c r="A482" t="s">
        <v>1651</v>
      </c>
      <c r="B482" t="s">
        <v>1652</v>
      </c>
      <c r="C482" t="s">
        <v>35</v>
      </c>
      <c r="D482">
        <v>10333.370251458</v>
      </c>
      <c r="E482" s="9">
        <v>46004</v>
      </c>
      <c r="F482" t="s">
        <v>1653</v>
      </c>
      <c r="G482" t="s">
        <v>141</v>
      </c>
      <c r="H482" t="s">
        <v>25</v>
      </c>
      <c r="I482" t="s">
        <v>26</v>
      </c>
      <c r="J482" t="s">
        <v>40</v>
      </c>
      <c r="K482" t="s">
        <v>1654</v>
      </c>
      <c r="L482" t="s">
        <v>81</v>
      </c>
      <c r="M482">
        <v>3776.6008466169201</v>
      </c>
      <c r="N482">
        <v>289.65670139423003</v>
      </c>
      <c r="O482" t="s">
        <v>43</v>
      </c>
      <c r="P482">
        <v>1</v>
      </c>
      <c r="Q482" t="s">
        <v>31</v>
      </c>
      <c r="R482" t="s">
        <v>32</v>
      </c>
      <c r="S482">
        <v>19.527499547777101</v>
      </c>
      <c r="T482">
        <v>37.738762497477602</v>
      </c>
    </row>
    <row r="483" spans="1:20">
      <c r="A483" t="s">
        <v>1655</v>
      </c>
      <c r="B483" t="s">
        <v>748</v>
      </c>
      <c r="C483" t="s">
        <v>22</v>
      </c>
      <c r="D483">
        <v>43067.2941967386</v>
      </c>
      <c r="E483" s="9">
        <v>46005</v>
      </c>
      <c r="F483" t="s">
        <v>1656</v>
      </c>
      <c r="G483" t="s">
        <v>37</v>
      </c>
      <c r="H483" t="s">
        <v>93</v>
      </c>
      <c r="I483" t="s">
        <v>75</v>
      </c>
      <c r="J483" t="s">
        <v>40</v>
      </c>
      <c r="K483" t="s">
        <v>1657</v>
      </c>
      <c r="L483" t="s">
        <v>29</v>
      </c>
      <c r="M483">
        <v>3115.06137059617</v>
      </c>
      <c r="N483">
        <v>350.74955073258297</v>
      </c>
      <c r="O483" t="s">
        <v>101</v>
      </c>
      <c r="P483">
        <v>2</v>
      </c>
      <c r="Q483" t="s">
        <v>31</v>
      </c>
      <c r="R483" t="s">
        <v>133</v>
      </c>
      <c r="S483">
        <v>-11.4918472450388</v>
      </c>
      <c r="T483">
        <v>25.9215333771986</v>
      </c>
    </row>
    <row r="484" spans="1:20">
      <c r="A484" t="s">
        <v>1658</v>
      </c>
      <c r="B484" t="s">
        <v>1659</v>
      </c>
      <c r="C484" t="s">
        <v>48</v>
      </c>
      <c r="D484">
        <v>48755.851430962597</v>
      </c>
      <c r="E484" s="9">
        <v>46006</v>
      </c>
      <c r="F484" t="s">
        <v>1660</v>
      </c>
      <c r="G484" t="s">
        <v>92</v>
      </c>
      <c r="H484" t="s">
        <v>93</v>
      </c>
      <c r="I484" t="s">
        <v>26</v>
      </c>
      <c r="J484" t="s">
        <v>173</v>
      </c>
      <c r="K484" t="s">
        <v>1661</v>
      </c>
      <c r="L484" t="s">
        <v>29</v>
      </c>
      <c r="M484">
        <v>2875.2693307474101</v>
      </c>
      <c r="N484">
        <v>0</v>
      </c>
      <c r="O484" t="s">
        <v>54</v>
      </c>
      <c r="P484">
        <v>3</v>
      </c>
      <c r="Q484" t="s">
        <v>63</v>
      </c>
      <c r="R484" t="s">
        <v>64</v>
      </c>
      <c r="S484">
        <v>11.752894462109101</v>
      </c>
      <c r="T484">
        <v>51.644434190282098</v>
      </c>
    </row>
    <row r="485" spans="1:20">
      <c r="A485" t="s">
        <v>1662</v>
      </c>
      <c r="B485" t="s">
        <v>813</v>
      </c>
      <c r="C485" t="s">
        <v>48</v>
      </c>
      <c r="D485">
        <v>12486.4994935819</v>
      </c>
      <c r="E485" s="9">
        <v>46006</v>
      </c>
      <c r="F485" t="s">
        <v>1663</v>
      </c>
      <c r="G485" t="s">
        <v>50</v>
      </c>
      <c r="H485" t="s">
        <v>69</v>
      </c>
      <c r="I485" t="s">
        <v>39</v>
      </c>
      <c r="J485" t="s">
        <v>87</v>
      </c>
      <c r="K485" t="s">
        <v>1664</v>
      </c>
      <c r="L485" t="s">
        <v>81</v>
      </c>
      <c r="M485">
        <v>3305.9386471993698</v>
      </c>
      <c r="N485">
        <v>0</v>
      </c>
      <c r="O485" t="s">
        <v>43</v>
      </c>
      <c r="P485">
        <v>1</v>
      </c>
      <c r="Q485" t="s">
        <v>31</v>
      </c>
      <c r="R485" t="s">
        <v>64</v>
      </c>
      <c r="S485">
        <v>-9.0838518334292608</v>
      </c>
      <c r="T485">
        <v>48.180344253894098</v>
      </c>
    </row>
    <row r="486" spans="1:20">
      <c r="A486" t="s">
        <v>1665</v>
      </c>
      <c r="B486" t="s">
        <v>1666</v>
      </c>
      <c r="C486" t="s">
        <v>35</v>
      </c>
      <c r="D486">
        <v>24109.155163408999</v>
      </c>
      <c r="E486" s="9">
        <v>46006</v>
      </c>
      <c r="F486" t="s">
        <v>1667</v>
      </c>
      <c r="G486" t="s">
        <v>92</v>
      </c>
      <c r="H486" t="s">
        <v>38</v>
      </c>
      <c r="I486" t="s">
        <v>39</v>
      </c>
      <c r="J486" t="s">
        <v>40</v>
      </c>
      <c r="K486" t="s">
        <v>1668</v>
      </c>
      <c r="L486" t="s">
        <v>120</v>
      </c>
      <c r="M486">
        <v>1127.6769392418501</v>
      </c>
      <c r="N486">
        <v>0</v>
      </c>
      <c r="O486" t="s">
        <v>43</v>
      </c>
      <c r="P486">
        <v>3</v>
      </c>
      <c r="R486" t="s">
        <v>82</v>
      </c>
      <c r="S486">
        <v>15.374015388972801</v>
      </c>
      <c r="T486">
        <v>83.578307085460096</v>
      </c>
    </row>
    <row r="487" spans="1:20">
      <c r="A487" t="s">
        <v>1669</v>
      </c>
      <c r="B487" t="s">
        <v>1659</v>
      </c>
      <c r="C487" t="s">
        <v>85</v>
      </c>
      <c r="D487">
        <v>41585.437354118803</v>
      </c>
      <c r="E487" s="9">
        <v>46006</v>
      </c>
      <c r="F487" t="s">
        <v>1670</v>
      </c>
      <c r="G487" t="s">
        <v>92</v>
      </c>
      <c r="H487" t="s">
        <v>93</v>
      </c>
      <c r="I487" t="s">
        <v>51</v>
      </c>
      <c r="J487" t="s">
        <v>27</v>
      </c>
      <c r="K487" t="s">
        <v>1671</v>
      </c>
      <c r="L487" t="s">
        <v>42</v>
      </c>
      <c r="M487">
        <v>3178.49508169106</v>
      </c>
      <c r="N487">
        <v>0</v>
      </c>
      <c r="O487" t="s">
        <v>101</v>
      </c>
      <c r="P487">
        <v>1</v>
      </c>
      <c r="Q487" t="s">
        <v>95</v>
      </c>
      <c r="R487" t="s">
        <v>45</v>
      </c>
      <c r="S487">
        <v>-0.83734809092074902</v>
      </c>
      <c r="T487">
        <v>84.764032950925497</v>
      </c>
    </row>
    <row r="488" spans="1:20">
      <c r="A488" t="s">
        <v>1672</v>
      </c>
      <c r="B488" t="s">
        <v>1673</v>
      </c>
      <c r="C488" t="s">
        <v>22</v>
      </c>
      <c r="D488">
        <v>47470.409173182503</v>
      </c>
      <c r="E488" s="9">
        <v>46007</v>
      </c>
      <c r="F488" t="s">
        <v>1674</v>
      </c>
      <c r="G488" t="s">
        <v>68</v>
      </c>
      <c r="H488" t="s">
        <v>25</v>
      </c>
      <c r="I488" t="s">
        <v>51</v>
      </c>
      <c r="J488" t="s">
        <v>40</v>
      </c>
      <c r="K488" t="s">
        <v>1675</v>
      </c>
      <c r="L488" t="s">
        <v>120</v>
      </c>
      <c r="M488">
        <v>4146.9922141672996</v>
      </c>
      <c r="N488">
        <v>0</v>
      </c>
      <c r="O488" t="s">
        <v>43</v>
      </c>
      <c r="P488">
        <v>2</v>
      </c>
      <c r="Q488" t="s">
        <v>44</v>
      </c>
      <c r="R488" t="s">
        <v>82</v>
      </c>
      <c r="S488">
        <v>17.3627595362146</v>
      </c>
      <c r="T488">
        <v>74.514480982782004</v>
      </c>
    </row>
    <row r="489" spans="1:20">
      <c r="A489" t="s">
        <v>1676</v>
      </c>
      <c r="B489" t="s">
        <v>905</v>
      </c>
      <c r="C489" t="s">
        <v>35</v>
      </c>
      <c r="D489">
        <v>38568.477715507099</v>
      </c>
      <c r="E489" s="9">
        <v>46009</v>
      </c>
      <c r="F489" t="s">
        <v>1677</v>
      </c>
      <c r="G489" t="s">
        <v>163</v>
      </c>
      <c r="H489" t="s">
        <v>69</v>
      </c>
      <c r="I489" t="s">
        <v>99</v>
      </c>
      <c r="J489" t="s">
        <v>60</v>
      </c>
      <c r="K489" t="s">
        <v>1678</v>
      </c>
      <c r="L489" t="s">
        <v>29</v>
      </c>
      <c r="M489">
        <v>585.36732213811604</v>
      </c>
      <c r="N489">
        <v>62.625615548104001</v>
      </c>
      <c r="O489" t="s">
        <v>30</v>
      </c>
      <c r="P489">
        <v>1</v>
      </c>
      <c r="Q489" t="s">
        <v>31</v>
      </c>
      <c r="R489" t="s">
        <v>45</v>
      </c>
      <c r="S489">
        <v>-0.36904825751398501</v>
      </c>
      <c r="T489">
        <v>84.303694692770307</v>
      </c>
    </row>
    <row r="490" spans="1:20">
      <c r="A490" t="s">
        <v>1676</v>
      </c>
      <c r="B490" t="s">
        <v>905</v>
      </c>
      <c r="C490" t="s">
        <v>35</v>
      </c>
      <c r="D490">
        <v>38568.477715507099</v>
      </c>
      <c r="E490" s="9">
        <v>46009</v>
      </c>
      <c r="F490" t="s">
        <v>1677</v>
      </c>
      <c r="G490" t="s">
        <v>163</v>
      </c>
      <c r="H490" t="s">
        <v>69</v>
      </c>
      <c r="I490" t="s">
        <v>99</v>
      </c>
      <c r="J490" t="s">
        <v>60</v>
      </c>
      <c r="K490" t="s">
        <v>1678</v>
      </c>
      <c r="L490" t="s">
        <v>29</v>
      </c>
      <c r="M490">
        <v>585.36732213811604</v>
      </c>
      <c r="N490">
        <v>62.625615548104001</v>
      </c>
      <c r="O490" t="s">
        <v>30</v>
      </c>
      <c r="P490">
        <v>1</v>
      </c>
      <c r="Q490" t="s">
        <v>31</v>
      </c>
      <c r="R490" t="s">
        <v>45</v>
      </c>
      <c r="S490">
        <v>-0.36904825751398501</v>
      </c>
      <c r="T490">
        <v>84.303694692770307</v>
      </c>
    </row>
    <row r="491" spans="1:20">
      <c r="A491" t="s">
        <v>1679</v>
      </c>
      <c r="B491" t="s">
        <v>97</v>
      </c>
      <c r="C491" t="s">
        <v>22</v>
      </c>
      <c r="D491">
        <v>24821.638957557901</v>
      </c>
      <c r="E491" s="9">
        <v>46009</v>
      </c>
      <c r="F491" t="s">
        <v>1680</v>
      </c>
      <c r="G491" t="s">
        <v>37</v>
      </c>
      <c r="H491" t="s">
        <v>93</v>
      </c>
      <c r="I491" t="s">
        <v>75</v>
      </c>
      <c r="J491" t="s">
        <v>87</v>
      </c>
      <c r="K491" t="s">
        <v>1681</v>
      </c>
      <c r="L491" t="s">
        <v>42</v>
      </c>
      <c r="M491">
        <v>4583.2475375858303</v>
      </c>
      <c r="N491">
        <v>264.35365994202601</v>
      </c>
      <c r="O491" t="s">
        <v>30</v>
      </c>
      <c r="P491">
        <v>0</v>
      </c>
      <c r="Q491" t="s">
        <v>63</v>
      </c>
      <c r="R491" t="s">
        <v>32</v>
      </c>
      <c r="S491">
        <v>-14.1592292356864</v>
      </c>
      <c r="T491">
        <v>48.118815147510198</v>
      </c>
    </row>
    <row r="492" spans="1:20">
      <c r="A492" t="s">
        <v>1682</v>
      </c>
      <c r="B492" t="s">
        <v>1090</v>
      </c>
      <c r="C492" t="s">
        <v>22</v>
      </c>
      <c r="D492">
        <v>25354.587422331399</v>
      </c>
      <c r="E492" s="9">
        <v>46010</v>
      </c>
      <c r="F492" t="s">
        <v>1683</v>
      </c>
      <c r="G492" t="s">
        <v>163</v>
      </c>
      <c r="H492" t="s">
        <v>38</v>
      </c>
      <c r="I492" t="s">
        <v>51</v>
      </c>
      <c r="J492" t="s">
        <v>87</v>
      </c>
      <c r="K492" t="s">
        <v>1684</v>
      </c>
      <c r="L492" t="s">
        <v>120</v>
      </c>
      <c r="M492">
        <v>3732.9414727210001</v>
      </c>
      <c r="N492">
        <v>0</v>
      </c>
      <c r="O492" t="s">
        <v>43</v>
      </c>
      <c r="P492">
        <v>0</v>
      </c>
      <c r="Q492" t="s">
        <v>44</v>
      </c>
      <c r="R492" t="s">
        <v>32</v>
      </c>
      <c r="S492">
        <v>7.70536973506037</v>
      </c>
      <c r="T492">
        <v>51.939768528346796</v>
      </c>
    </row>
    <row r="493" spans="1:20">
      <c r="A493" t="s">
        <v>1685</v>
      </c>
      <c r="B493" t="s">
        <v>674</v>
      </c>
      <c r="C493" t="s">
        <v>22</v>
      </c>
      <c r="D493">
        <v>45784.132496866499</v>
      </c>
      <c r="E493" s="9">
        <v>46010</v>
      </c>
      <c r="F493" t="s">
        <v>1686</v>
      </c>
      <c r="G493" t="s">
        <v>37</v>
      </c>
      <c r="H493" t="s">
        <v>74</v>
      </c>
      <c r="I493" t="s">
        <v>51</v>
      </c>
      <c r="J493" t="s">
        <v>60</v>
      </c>
      <c r="K493" t="s">
        <v>1687</v>
      </c>
      <c r="L493" t="s">
        <v>42</v>
      </c>
      <c r="M493">
        <v>1812.66077157379</v>
      </c>
      <c r="N493">
        <v>19.898563667826298</v>
      </c>
      <c r="O493" t="s">
        <v>30</v>
      </c>
      <c r="P493">
        <v>3</v>
      </c>
      <c r="Q493" t="s">
        <v>31</v>
      </c>
      <c r="R493" t="s">
        <v>45</v>
      </c>
      <c r="S493">
        <v>9.4673268021711596</v>
      </c>
      <c r="T493">
        <v>33.646116257721197</v>
      </c>
    </row>
    <row r="494" spans="1:20">
      <c r="A494" t="s">
        <v>1688</v>
      </c>
      <c r="B494" t="s">
        <v>223</v>
      </c>
      <c r="C494" t="s">
        <v>35</v>
      </c>
      <c r="D494">
        <v>28515.2315363987</v>
      </c>
      <c r="E494" s="9">
        <v>46010</v>
      </c>
      <c r="F494" t="s">
        <v>1689</v>
      </c>
      <c r="G494" t="s">
        <v>37</v>
      </c>
      <c r="H494" t="s">
        <v>106</v>
      </c>
      <c r="I494" t="s">
        <v>39</v>
      </c>
      <c r="J494" t="s">
        <v>40</v>
      </c>
      <c r="K494" t="s">
        <v>1690</v>
      </c>
      <c r="L494" t="s">
        <v>53</v>
      </c>
      <c r="M494">
        <v>2521.0347868645899</v>
      </c>
      <c r="N494">
        <v>487.800959578326</v>
      </c>
      <c r="O494" t="s">
        <v>62</v>
      </c>
      <c r="P494">
        <v>4</v>
      </c>
      <c r="Q494" t="s">
        <v>95</v>
      </c>
      <c r="R494" t="s">
        <v>64</v>
      </c>
      <c r="S494">
        <v>16.519915793155</v>
      </c>
      <c r="T494">
        <v>56.325584382568302</v>
      </c>
    </row>
    <row r="495" spans="1:20">
      <c r="A495" t="s">
        <v>1691</v>
      </c>
      <c r="B495" t="s">
        <v>582</v>
      </c>
      <c r="C495" t="s">
        <v>35</v>
      </c>
      <c r="D495">
        <v>31242.6670546737</v>
      </c>
      <c r="E495" s="9">
        <v>46011</v>
      </c>
      <c r="F495" t="s">
        <v>1692</v>
      </c>
      <c r="G495" t="s">
        <v>24</v>
      </c>
      <c r="H495" t="s">
        <v>93</v>
      </c>
      <c r="I495" t="s">
        <v>75</v>
      </c>
      <c r="J495" t="s">
        <v>40</v>
      </c>
      <c r="K495" t="s">
        <v>1693</v>
      </c>
      <c r="L495" t="s">
        <v>120</v>
      </c>
      <c r="M495">
        <v>2169.3681064990901</v>
      </c>
      <c r="N495">
        <v>383.88230885716899</v>
      </c>
      <c r="O495" t="s">
        <v>62</v>
      </c>
      <c r="P495">
        <v>1</v>
      </c>
      <c r="Q495" t="s">
        <v>63</v>
      </c>
      <c r="R495" t="s">
        <v>133</v>
      </c>
      <c r="S495">
        <v>9.1912313494687492</v>
      </c>
      <c r="T495">
        <v>85.582290712390403</v>
      </c>
    </row>
    <row r="496" spans="1:20">
      <c r="A496" t="s">
        <v>1694</v>
      </c>
      <c r="B496" t="s">
        <v>1695</v>
      </c>
      <c r="C496" t="s">
        <v>48</v>
      </c>
      <c r="D496">
        <v>20698.3981752769</v>
      </c>
      <c r="E496" s="9">
        <v>46011</v>
      </c>
      <c r="F496" t="s">
        <v>1696</v>
      </c>
      <c r="G496" t="s">
        <v>181</v>
      </c>
      <c r="H496" t="s">
        <v>25</v>
      </c>
      <c r="I496" t="s">
        <v>99</v>
      </c>
      <c r="J496" t="s">
        <v>173</v>
      </c>
      <c r="K496" t="s">
        <v>1697</v>
      </c>
      <c r="L496" t="s">
        <v>155</v>
      </c>
      <c r="M496">
        <v>508.938313510836</v>
      </c>
      <c r="N496">
        <v>0</v>
      </c>
      <c r="O496" t="s">
        <v>30</v>
      </c>
      <c r="P496">
        <v>4</v>
      </c>
      <c r="Q496" t="s">
        <v>31</v>
      </c>
      <c r="R496" t="s">
        <v>32</v>
      </c>
      <c r="S496">
        <v>22.493834075875601</v>
      </c>
      <c r="T496">
        <v>45.693884989824902</v>
      </c>
    </row>
    <row r="497" spans="1:20">
      <c r="A497" t="s">
        <v>1698</v>
      </c>
      <c r="B497" t="s">
        <v>1097</v>
      </c>
      <c r="C497" t="s">
        <v>35</v>
      </c>
      <c r="D497">
        <v>23883.312257908001</v>
      </c>
      <c r="E497" s="9">
        <v>46011</v>
      </c>
      <c r="F497" t="s">
        <v>1699</v>
      </c>
      <c r="G497" t="s">
        <v>141</v>
      </c>
      <c r="H497" t="s">
        <v>25</v>
      </c>
      <c r="I497" t="s">
        <v>75</v>
      </c>
      <c r="J497" t="s">
        <v>173</v>
      </c>
      <c r="K497" t="s">
        <v>1700</v>
      </c>
      <c r="L497" t="s">
        <v>81</v>
      </c>
      <c r="M497">
        <v>1442.89526175221</v>
      </c>
      <c r="N497">
        <v>166.88829853489901</v>
      </c>
      <c r="O497" t="s">
        <v>54</v>
      </c>
      <c r="P497">
        <v>2</v>
      </c>
      <c r="Q497" t="s">
        <v>63</v>
      </c>
      <c r="R497" t="s">
        <v>82</v>
      </c>
      <c r="S497">
        <v>5.99314728316648</v>
      </c>
      <c r="T497">
        <v>80.585770533406205</v>
      </c>
    </row>
    <row r="498" spans="1:20">
      <c r="A498" t="s">
        <v>1701</v>
      </c>
      <c r="B498" t="s">
        <v>277</v>
      </c>
      <c r="C498" t="s">
        <v>85</v>
      </c>
      <c r="D498">
        <v>47912.722570896098</v>
      </c>
      <c r="E498" s="9">
        <v>46012</v>
      </c>
      <c r="F498" t="s">
        <v>1702</v>
      </c>
      <c r="G498" t="s">
        <v>24</v>
      </c>
      <c r="H498" t="s">
        <v>38</v>
      </c>
      <c r="I498" t="s">
        <v>99</v>
      </c>
      <c r="J498" t="s">
        <v>173</v>
      </c>
      <c r="K498" t="s">
        <v>1703</v>
      </c>
      <c r="L498" t="s">
        <v>29</v>
      </c>
      <c r="M498">
        <v>1675.5082231022</v>
      </c>
      <c r="N498">
        <v>122.327527302357</v>
      </c>
      <c r="O498" t="s">
        <v>30</v>
      </c>
      <c r="P498">
        <v>1</v>
      </c>
      <c r="Q498" t="s">
        <v>55</v>
      </c>
      <c r="R498" t="s">
        <v>32</v>
      </c>
      <c r="S498">
        <v>-16.017322303987701</v>
      </c>
      <c r="T498">
        <v>64.277366161829207</v>
      </c>
    </row>
    <row r="499" spans="1:20">
      <c r="A499" t="s">
        <v>1704</v>
      </c>
      <c r="B499" t="s">
        <v>387</v>
      </c>
      <c r="C499" t="s">
        <v>48</v>
      </c>
      <c r="D499">
        <v>39097.572639395599</v>
      </c>
      <c r="E499" s="9">
        <v>46013</v>
      </c>
      <c r="F499" t="s">
        <v>1705</v>
      </c>
      <c r="G499" t="s">
        <v>59</v>
      </c>
      <c r="H499" t="s">
        <v>74</v>
      </c>
      <c r="I499" t="s">
        <v>26</v>
      </c>
      <c r="J499" t="s">
        <v>40</v>
      </c>
      <c r="K499" t="s">
        <v>1706</v>
      </c>
      <c r="L499" t="s">
        <v>120</v>
      </c>
      <c r="M499">
        <v>4321.4658478793999</v>
      </c>
      <c r="N499">
        <v>0</v>
      </c>
      <c r="O499" t="s">
        <v>54</v>
      </c>
      <c r="P499">
        <v>4</v>
      </c>
      <c r="R499" t="s">
        <v>32</v>
      </c>
      <c r="S499">
        <v>-23.726228114739499</v>
      </c>
      <c r="T499">
        <v>28.829580455425599</v>
      </c>
    </row>
    <row r="500" spans="1:20">
      <c r="A500" t="s">
        <v>1707</v>
      </c>
      <c r="B500" t="s">
        <v>1708</v>
      </c>
      <c r="C500" t="s">
        <v>85</v>
      </c>
      <c r="D500">
        <v>24923.498209596499</v>
      </c>
      <c r="E500" s="9">
        <v>46013</v>
      </c>
      <c r="F500" t="s">
        <v>1709</v>
      </c>
      <c r="G500" t="s">
        <v>181</v>
      </c>
      <c r="H500" t="s">
        <v>69</v>
      </c>
      <c r="I500" t="s">
        <v>75</v>
      </c>
      <c r="J500" t="s">
        <v>60</v>
      </c>
      <c r="K500" t="s">
        <v>1710</v>
      </c>
      <c r="L500" t="s">
        <v>29</v>
      </c>
      <c r="M500">
        <v>734.92259439654094</v>
      </c>
      <c r="N500">
        <v>177.641987118461</v>
      </c>
      <c r="O500" t="s">
        <v>43</v>
      </c>
      <c r="P500">
        <v>3</v>
      </c>
      <c r="Q500" t="s">
        <v>31</v>
      </c>
      <c r="R500" t="s">
        <v>45</v>
      </c>
      <c r="S500">
        <v>27.160371989944501</v>
      </c>
      <c r="T500">
        <v>70.530664253592704</v>
      </c>
    </row>
    <row r="501" spans="1:20">
      <c r="A501" t="s">
        <v>1711</v>
      </c>
      <c r="B501" t="s">
        <v>135</v>
      </c>
      <c r="C501" t="s">
        <v>35</v>
      </c>
      <c r="D501">
        <v>7027.3561947568196</v>
      </c>
      <c r="E501" s="9">
        <v>46013</v>
      </c>
      <c r="F501" t="s">
        <v>1712</v>
      </c>
      <c r="G501" t="s">
        <v>68</v>
      </c>
      <c r="H501" t="s">
        <v>106</v>
      </c>
      <c r="I501" t="s">
        <v>26</v>
      </c>
      <c r="J501" t="s">
        <v>40</v>
      </c>
      <c r="K501" t="s">
        <v>1713</v>
      </c>
      <c r="L501" t="s">
        <v>120</v>
      </c>
      <c r="M501">
        <v>2288.4022715625201</v>
      </c>
      <c r="N501">
        <v>0</v>
      </c>
      <c r="O501" t="s">
        <v>101</v>
      </c>
      <c r="P501">
        <v>1</v>
      </c>
      <c r="Q501" t="s">
        <v>31</v>
      </c>
      <c r="R501" t="s">
        <v>102</v>
      </c>
      <c r="S501">
        <v>14.691921507976801</v>
      </c>
      <c r="T501">
        <v>98.257892299220501</v>
      </c>
    </row>
    <row r="502" spans="1:20">
      <c r="A502" t="s">
        <v>1714</v>
      </c>
      <c r="B502" t="s">
        <v>1715</v>
      </c>
      <c r="C502" t="s">
        <v>48</v>
      </c>
      <c r="D502">
        <v>3958.32116789048</v>
      </c>
      <c r="E502" s="9">
        <v>46014</v>
      </c>
      <c r="F502" t="s">
        <v>1716</v>
      </c>
      <c r="G502" t="s">
        <v>68</v>
      </c>
      <c r="H502" t="s">
        <v>69</v>
      </c>
      <c r="I502" t="s">
        <v>51</v>
      </c>
      <c r="J502" t="s">
        <v>173</v>
      </c>
      <c r="K502" t="s">
        <v>1717</v>
      </c>
      <c r="L502" t="s">
        <v>155</v>
      </c>
      <c r="M502">
        <v>623.32425707213201</v>
      </c>
      <c r="N502">
        <v>0</v>
      </c>
      <c r="O502" t="s">
        <v>54</v>
      </c>
      <c r="P502">
        <v>3</v>
      </c>
      <c r="Q502" t="s">
        <v>44</v>
      </c>
      <c r="R502" t="s">
        <v>45</v>
      </c>
      <c r="S502">
        <v>-13.8219360468477</v>
      </c>
      <c r="T502">
        <v>28.988067953386</v>
      </c>
    </row>
    <row r="503" spans="1:20">
      <c r="A503" t="s">
        <v>1718</v>
      </c>
      <c r="B503" t="s">
        <v>293</v>
      </c>
      <c r="C503" t="s">
        <v>35</v>
      </c>
      <c r="D503">
        <v>17819.7047336373</v>
      </c>
      <c r="E503" s="9">
        <v>46014</v>
      </c>
      <c r="F503" t="s">
        <v>1719</v>
      </c>
      <c r="G503" t="s">
        <v>59</v>
      </c>
      <c r="H503" t="s">
        <v>25</v>
      </c>
      <c r="I503" t="s">
        <v>75</v>
      </c>
      <c r="J503" t="s">
        <v>87</v>
      </c>
      <c r="K503" t="s">
        <v>1720</v>
      </c>
      <c r="L503" t="s">
        <v>81</v>
      </c>
      <c r="M503">
        <v>1146.5104969598699</v>
      </c>
      <c r="N503">
        <v>0</v>
      </c>
      <c r="O503" t="s">
        <v>101</v>
      </c>
      <c r="P503">
        <v>2</v>
      </c>
      <c r="Q503" t="s">
        <v>55</v>
      </c>
      <c r="R503" t="s">
        <v>32</v>
      </c>
      <c r="S503">
        <v>24.905000001484499</v>
      </c>
      <c r="T503">
        <v>69.482757932812603</v>
      </c>
    </row>
    <row r="504" spans="1:20">
      <c r="A504" t="s">
        <v>1721</v>
      </c>
      <c r="B504" t="s">
        <v>368</v>
      </c>
      <c r="C504" t="s">
        <v>22</v>
      </c>
      <c r="D504">
        <v>23021.405716514</v>
      </c>
      <c r="E504" s="9">
        <v>46016</v>
      </c>
      <c r="F504" t="s">
        <v>1722</v>
      </c>
      <c r="G504" t="s">
        <v>141</v>
      </c>
      <c r="H504" t="s">
        <v>93</v>
      </c>
      <c r="I504" t="s">
        <v>26</v>
      </c>
      <c r="J504" t="s">
        <v>60</v>
      </c>
      <c r="K504" t="s">
        <v>1723</v>
      </c>
      <c r="L504" t="s">
        <v>29</v>
      </c>
      <c r="M504">
        <v>2752.32148987955</v>
      </c>
      <c r="N504">
        <v>0</v>
      </c>
      <c r="O504" t="s">
        <v>101</v>
      </c>
      <c r="P504">
        <v>0</v>
      </c>
      <c r="Q504" t="s">
        <v>63</v>
      </c>
      <c r="R504" t="s">
        <v>82</v>
      </c>
      <c r="S504">
        <v>1.6288376579508299</v>
      </c>
      <c r="T504">
        <v>88.636864709554104</v>
      </c>
    </row>
    <row r="505" spans="1:20">
      <c r="A505" t="s">
        <v>1724</v>
      </c>
      <c r="B505" t="s">
        <v>451</v>
      </c>
      <c r="C505" t="s">
        <v>85</v>
      </c>
      <c r="D505">
        <v>20378.976182848699</v>
      </c>
      <c r="E505" s="9">
        <v>46016</v>
      </c>
      <c r="F505" t="s">
        <v>1725</v>
      </c>
      <c r="G505" t="s">
        <v>181</v>
      </c>
      <c r="H505" t="s">
        <v>93</v>
      </c>
      <c r="I505" t="s">
        <v>39</v>
      </c>
      <c r="J505" t="s">
        <v>173</v>
      </c>
      <c r="K505" t="s">
        <v>1726</v>
      </c>
      <c r="L505" t="s">
        <v>53</v>
      </c>
      <c r="M505">
        <v>2790.1147366786699</v>
      </c>
      <c r="N505">
        <v>0</v>
      </c>
      <c r="O505" t="s">
        <v>30</v>
      </c>
      <c r="P505">
        <v>3</v>
      </c>
      <c r="Q505" t="s">
        <v>55</v>
      </c>
      <c r="R505" t="s">
        <v>32</v>
      </c>
      <c r="S505">
        <v>-2.4810061151354401</v>
      </c>
      <c r="T505">
        <v>7.8980599366231701</v>
      </c>
    </row>
    <row r="506" spans="1:20">
      <c r="A506" t="s">
        <v>1727</v>
      </c>
      <c r="B506" t="s">
        <v>399</v>
      </c>
      <c r="C506" t="s">
        <v>48</v>
      </c>
      <c r="D506">
        <v>41272.855837990697</v>
      </c>
      <c r="E506" s="9">
        <v>46016</v>
      </c>
      <c r="F506" t="s">
        <v>1728</v>
      </c>
      <c r="G506" t="s">
        <v>24</v>
      </c>
      <c r="H506" t="s">
        <v>106</v>
      </c>
      <c r="I506" t="s">
        <v>51</v>
      </c>
      <c r="J506" t="s">
        <v>173</v>
      </c>
      <c r="K506" t="s">
        <v>1729</v>
      </c>
      <c r="L506" t="s">
        <v>120</v>
      </c>
      <c r="M506">
        <v>3736.8841238730702</v>
      </c>
      <c r="N506">
        <v>455.90928476972402</v>
      </c>
      <c r="O506" t="s">
        <v>62</v>
      </c>
      <c r="P506">
        <v>3</v>
      </c>
      <c r="Q506" t="s">
        <v>63</v>
      </c>
      <c r="R506" t="s">
        <v>32</v>
      </c>
      <c r="S506">
        <v>3.4457567558591902</v>
      </c>
      <c r="T506">
        <v>12.8515668444116</v>
      </c>
    </row>
    <row r="507" spans="1:20">
      <c r="A507" t="s">
        <v>1730</v>
      </c>
      <c r="B507" t="s">
        <v>323</v>
      </c>
      <c r="C507" t="s">
        <v>22</v>
      </c>
      <c r="D507">
        <v>-999</v>
      </c>
      <c r="E507" s="9">
        <v>46017</v>
      </c>
      <c r="F507" t="s">
        <v>1731</v>
      </c>
      <c r="G507" t="s">
        <v>68</v>
      </c>
      <c r="H507" t="s">
        <v>74</v>
      </c>
      <c r="I507" t="s">
        <v>99</v>
      </c>
      <c r="J507" t="s">
        <v>60</v>
      </c>
      <c r="K507" t="s">
        <v>1732</v>
      </c>
      <c r="L507" t="s">
        <v>42</v>
      </c>
      <c r="M507">
        <v>2711.0438971782</v>
      </c>
      <c r="N507">
        <v>387.93862723484602</v>
      </c>
      <c r="O507" t="s">
        <v>30</v>
      </c>
      <c r="P507">
        <v>4</v>
      </c>
      <c r="Q507" t="s">
        <v>44</v>
      </c>
      <c r="R507" t="s">
        <v>133</v>
      </c>
      <c r="S507">
        <v>5.2610850237006401</v>
      </c>
      <c r="T507">
        <v>20.341300219831499</v>
      </c>
    </row>
    <row r="508" spans="1:20">
      <c r="A508" t="s">
        <v>1733</v>
      </c>
      <c r="B508" t="s">
        <v>215</v>
      </c>
      <c r="C508" t="s">
        <v>22</v>
      </c>
      <c r="D508">
        <v>43834.559386177199</v>
      </c>
      <c r="E508" s="9">
        <v>46017</v>
      </c>
      <c r="F508" t="s">
        <v>1734</v>
      </c>
      <c r="G508" t="s">
        <v>181</v>
      </c>
      <c r="H508" t="s">
        <v>74</v>
      </c>
      <c r="I508" t="s">
        <v>39</v>
      </c>
      <c r="J508" t="s">
        <v>87</v>
      </c>
      <c r="K508" t="s">
        <v>1735</v>
      </c>
      <c r="L508" t="s">
        <v>42</v>
      </c>
      <c r="M508">
        <v>4929.5528354494199</v>
      </c>
      <c r="N508">
        <v>325.09358322282702</v>
      </c>
      <c r="O508" t="s">
        <v>43</v>
      </c>
      <c r="P508">
        <v>4</v>
      </c>
      <c r="Q508" t="s">
        <v>31</v>
      </c>
      <c r="R508" t="s">
        <v>45</v>
      </c>
      <c r="S508">
        <v>-10.7707861406672</v>
      </c>
      <c r="T508">
        <v>24.406401096725101</v>
      </c>
    </row>
    <row r="509" spans="1:20">
      <c r="A509" t="s">
        <v>1736</v>
      </c>
      <c r="B509" t="s">
        <v>809</v>
      </c>
      <c r="C509" t="s">
        <v>85</v>
      </c>
      <c r="D509">
        <v>17758.181690406302</v>
      </c>
      <c r="E509" s="9">
        <v>46018</v>
      </c>
      <c r="F509" t="s">
        <v>1737</v>
      </c>
      <c r="G509" t="s">
        <v>172</v>
      </c>
      <c r="H509" t="s">
        <v>106</v>
      </c>
      <c r="I509" t="s">
        <v>51</v>
      </c>
      <c r="J509" t="s">
        <v>87</v>
      </c>
      <c r="K509" t="s">
        <v>1738</v>
      </c>
      <c r="L509" t="s">
        <v>53</v>
      </c>
      <c r="M509">
        <v>3089.9592221282201</v>
      </c>
      <c r="N509">
        <v>0</v>
      </c>
      <c r="O509" t="s">
        <v>62</v>
      </c>
      <c r="P509">
        <v>4</v>
      </c>
      <c r="Q509" t="s">
        <v>31</v>
      </c>
      <c r="R509" t="s">
        <v>102</v>
      </c>
      <c r="S509">
        <v>16.178529833019301</v>
      </c>
      <c r="T509">
        <v>52.212649343217699</v>
      </c>
    </row>
    <row r="510" spans="1:20">
      <c r="A510" t="s">
        <v>1739</v>
      </c>
      <c r="B510" t="s">
        <v>717</v>
      </c>
      <c r="C510" t="s">
        <v>22</v>
      </c>
      <c r="D510">
        <v>32288.202971689501</v>
      </c>
      <c r="E510" s="9">
        <v>46019</v>
      </c>
      <c r="F510" t="s">
        <v>1740</v>
      </c>
      <c r="G510" t="s">
        <v>141</v>
      </c>
      <c r="H510" t="s">
        <v>74</v>
      </c>
      <c r="I510" t="s">
        <v>99</v>
      </c>
      <c r="J510" t="s">
        <v>87</v>
      </c>
      <c r="K510" t="s">
        <v>1741</v>
      </c>
      <c r="L510" t="s">
        <v>155</v>
      </c>
      <c r="M510">
        <v>4812.4054156168904</v>
      </c>
      <c r="N510">
        <v>155.82645832732399</v>
      </c>
      <c r="O510" t="s">
        <v>54</v>
      </c>
      <c r="P510">
        <v>2</v>
      </c>
      <c r="Q510" t="s">
        <v>95</v>
      </c>
      <c r="R510" t="s">
        <v>133</v>
      </c>
      <c r="S510">
        <v>18.788999301828799</v>
      </c>
      <c r="T510">
        <v>83.897109667406795</v>
      </c>
    </row>
    <row r="511" spans="1:20">
      <c r="A511" t="s">
        <v>1742</v>
      </c>
      <c r="B511" t="s">
        <v>1323</v>
      </c>
      <c r="C511" t="s">
        <v>22</v>
      </c>
      <c r="D511">
        <v>27475.295585113799</v>
      </c>
      <c r="E511" s="9">
        <v>46020</v>
      </c>
      <c r="F511" t="s">
        <v>1743</v>
      </c>
      <c r="G511" t="s">
        <v>50</v>
      </c>
      <c r="H511" t="s">
        <v>38</v>
      </c>
      <c r="I511" t="s">
        <v>26</v>
      </c>
      <c r="J511" t="s">
        <v>87</v>
      </c>
      <c r="K511" t="s">
        <v>1744</v>
      </c>
      <c r="L511" t="s">
        <v>81</v>
      </c>
      <c r="M511">
        <v>1201.55136001454</v>
      </c>
      <c r="N511">
        <v>0</v>
      </c>
      <c r="O511" t="s">
        <v>43</v>
      </c>
      <c r="P511">
        <v>4</v>
      </c>
      <c r="Q511" t="s">
        <v>55</v>
      </c>
      <c r="R511" t="s">
        <v>82</v>
      </c>
      <c r="S511">
        <v>17.1401489926692</v>
      </c>
      <c r="T511">
        <v>1.45341352659907</v>
      </c>
    </row>
    <row r="512" spans="1:20">
      <c r="A512" t="s">
        <v>1745</v>
      </c>
      <c r="B512" t="s">
        <v>1337</v>
      </c>
      <c r="C512" t="s">
        <v>22</v>
      </c>
      <c r="D512">
        <v>19023.506389693601</v>
      </c>
      <c r="E512" s="9">
        <v>46020</v>
      </c>
      <c r="F512" t="s">
        <v>1746</v>
      </c>
      <c r="G512" t="s">
        <v>50</v>
      </c>
      <c r="H512" t="s">
        <v>106</v>
      </c>
      <c r="I512" t="s">
        <v>26</v>
      </c>
      <c r="J512" t="s">
        <v>40</v>
      </c>
      <c r="K512" t="s">
        <v>1747</v>
      </c>
      <c r="L512" t="s">
        <v>81</v>
      </c>
      <c r="M512">
        <v>1433.2542712285699</v>
      </c>
      <c r="N512">
        <v>0</v>
      </c>
      <c r="O512" t="s">
        <v>43</v>
      </c>
      <c r="P512">
        <v>0</v>
      </c>
      <c r="Q512" t="s">
        <v>55</v>
      </c>
      <c r="R512" t="s">
        <v>45</v>
      </c>
      <c r="S512">
        <v>15.816184025280799</v>
      </c>
      <c r="T512">
        <v>74.959944112076201</v>
      </c>
    </row>
    <row r="513" spans="1:20">
      <c r="A513" t="s">
        <v>1748</v>
      </c>
      <c r="B513" t="s">
        <v>1210</v>
      </c>
      <c r="C513" t="s">
        <v>35</v>
      </c>
      <c r="D513">
        <v>13506.7568530628</v>
      </c>
      <c r="E513" s="9">
        <v>46021</v>
      </c>
      <c r="F513" t="s">
        <v>1749</v>
      </c>
      <c r="G513" t="s">
        <v>50</v>
      </c>
      <c r="H513" t="s">
        <v>69</v>
      </c>
      <c r="I513" t="s">
        <v>51</v>
      </c>
      <c r="J513" t="s">
        <v>27</v>
      </c>
      <c r="K513" t="s">
        <v>1750</v>
      </c>
      <c r="L513" t="s">
        <v>155</v>
      </c>
      <c r="M513">
        <v>319.606934465846</v>
      </c>
      <c r="N513">
        <v>0</v>
      </c>
      <c r="O513" t="s">
        <v>30</v>
      </c>
      <c r="P513">
        <v>0</v>
      </c>
      <c r="Q513" t="s">
        <v>55</v>
      </c>
      <c r="R513" t="s">
        <v>45</v>
      </c>
      <c r="S513">
        <v>29.894041549723202</v>
      </c>
      <c r="T513">
        <v>78.652588710359097</v>
      </c>
    </row>
    <row r="514" spans="1:20">
      <c r="A514" t="s">
        <v>1751</v>
      </c>
      <c r="B514" t="s">
        <v>1752</v>
      </c>
      <c r="C514" t="s">
        <v>22</v>
      </c>
      <c r="D514">
        <v>8184.4925067900704</v>
      </c>
      <c r="E514" s="9">
        <v>46021</v>
      </c>
      <c r="F514" t="s">
        <v>1753</v>
      </c>
      <c r="G514" t="s">
        <v>50</v>
      </c>
      <c r="H514" t="s">
        <v>38</v>
      </c>
      <c r="I514" t="s">
        <v>99</v>
      </c>
      <c r="J514" t="s">
        <v>60</v>
      </c>
      <c r="K514" t="s">
        <v>1754</v>
      </c>
      <c r="M514">
        <v>3752.6795796620399</v>
      </c>
      <c r="N514">
        <v>0</v>
      </c>
      <c r="O514" t="s">
        <v>62</v>
      </c>
      <c r="P514">
        <v>2</v>
      </c>
      <c r="R514" t="s">
        <v>32</v>
      </c>
      <c r="S514">
        <v>20.156129400990501</v>
      </c>
      <c r="T514">
        <v>37.820678387307801</v>
      </c>
    </row>
    <row r="515" spans="1:20">
      <c r="A515" t="s">
        <v>1755</v>
      </c>
      <c r="B515" t="s">
        <v>850</v>
      </c>
      <c r="C515" t="s">
        <v>35</v>
      </c>
      <c r="D515">
        <v>28916.564918215699</v>
      </c>
      <c r="E515" s="9">
        <v>46022</v>
      </c>
      <c r="F515" t="s">
        <v>1756</v>
      </c>
      <c r="G515" t="s">
        <v>141</v>
      </c>
      <c r="H515" t="s">
        <v>93</v>
      </c>
      <c r="I515" t="s">
        <v>51</v>
      </c>
      <c r="J515" t="s">
        <v>60</v>
      </c>
      <c r="K515" t="s">
        <v>1757</v>
      </c>
      <c r="L515" t="s">
        <v>42</v>
      </c>
      <c r="M515">
        <v>1848.2003421745501</v>
      </c>
      <c r="N515">
        <v>56.982943559620601</v>
      </c>
      <c r="O515" t="s">
        <v>30</v>
      </c>
      <c r="P515">
        <v>3</v>
      </c>
      <c r="R515" t="s">
        <v>133</v>
      </c>
      <c r="S515">
        <v>18.097169158922</v>
      </c>
      <c r="T515">
        <v>26.9359700663538</v>
      </c>
    </row>
    <row r="516" spans="1:20">
      <c r="A516" t="s">
        <v>1758</v>
      </c>
      <c r="B516" t="s">
        <v>562</v>
      </c>
      <c r="C516" t="s">
        <v>85</v>
      </c>
      <c r="D516">
        <v>4229.1461597617799</v>
      </c>
      <c r="E516" s="9">
        <v>46022</v>
      </c>
      <c r="F516" t="s">
        <v>1759</v>
      </c>
      <c r="G516" t="s">
        <v>172</v>
      </c>
      <c r="H516" t="s">
        <v>106</v>
      </c>
      <c r="I516" t="s">
        <v>26</v>
      </c>
      <c r="J516" t="s">
        <v>40</v>
      </c>
      <c r="K516" t="s">
        <v>1760</v>
      </c>
      <c r="L516" t="s">
        <v>81</v>
      </c>
      <c r="M516">
        <v>2809.1545733552298</v>
      </c>
      <c r="N516">
        <v>0</v>
      </c>
      <c r="O516" t="s">
        <v>30</v>
      </c>
      <c r="P516">
        <v>0</v>
      </c>
      <c r="Q516" t="s">
        <v>55</v>
      </c>
      <c r="R516" t="s">
        <v>133</v>
      </c>
      <c r="S516">
        <v>-15.462400247972001</v>
      </c>
      <c r="T516">
        <v>27.479781076790101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V501"/>
  <sheetViews>
    <sheetView zoomScale="88" workbookViewId="0">
      <pane xSplit="2" topLeftCell="C1" activePane="topRight" state="frozen"/>
      <selection pane="topRight" activeCell="Y2" sqref="Y2:AI30"/>
    </sheetView>
  </sheetViews>
  <sheetFormatPr defaultColWidth="9" defaultRowHeight="14.4"/>
  <cols>
    <col min="1" max="1" width="18.109375" customWidth="1"/>
    <col min="2" max="2" width="12" customWidth="1"/>
    <col min="3" max="3" width="19.109375" customWidth="1"/>
    <col min="4" max="4" width="12.33203125" customWidth="1"/>
    <col min="5" max="5" width="20.21875" customWidth="1"/>
    <col min="6" max="6" width="20.44140625" customWidth="1"/>
    <col min="7" max="7" width="10.6640625" customWidth="1"/>
    <col min="8" max="8" width="16.109375" customWidth="1"/>
    <col min="9" max="9" width="17.77734375" customWidth="1"/>
    <col min="10" max="10" width="14.5546875" customWidth="1"/>
    <col min="11" max="11" width="16.44140625" customWidth="1"/>
    <col min="12" max="12" width="22.44140625" customWidth="1"/>
    <col min="13" max="13" width="12.77734375" customWidth="1"/>
    <col min="14" max="14" width="9" customWidth="1"/>
    <col min="15" max="15" width="21.6640625" customWidth="1"/>
    <col min="16" max="16" width="16" customWidth="1"/>
    <col min="17" max="17" width="17.33203125" customWidth="1"/>
    <col min="18" max="18" width="14.88671875" customWidth="1"/>
    <col min="19" max="19" width="21.44140625" customWidth="1"/>
    <col min="20" max="20" width="14.44140625" customWidth="1"/>
    <col min="21" max="21" width="25.33203125" customWidth="1"/>
    <col min="22" max="22" width="12.33203125" customWidth="1"/>
    <col min="26" max="26" width="23.88671875" bestFit="1" customWidth="1"/>
    <col min="27" max="27" width="18.3320312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15" t="s">
        <v>1774</v>
      </c>
      <c r="V1" s="6" t="s">
        <v>1761</v>
      </c>
    </row>
    <row r="2" spans="1:22">
      <c r="A2" t="s">
        <v>20</v>
      </c>
      <c r="B2" t="s">
        <v>21</v>
      </c>
      <c r="C2" t="s">
        <v>22</v>
      </c>
      <c r="D2" s="2">
        <v>44384.278077423798</v>
      </c>
      <c r="E2" s="4">
        <v>45659</v>
      </c>
      <c r="F2" t="s">
        <v>23</v>
      </c>
      <c r="G2" t="s">
        <v>24</v>
      </c>
      <c r="H2" t="s">
        <v>25</v>
      </c>
      <c r="I2" t="s">
        <v>26</v>
      </c>
      <c r="J2" t="s">
        <v>60</v>
      </c>
      <c r="K2" t="s">
        <v>28</v>
      </c>
      <c r="L2" t="s">
        <v>29</v>
      </c>
      <c r="M2" s="2">
        <v>1122.0669688548401</v>
      </c>
      <c r="N2" s="2">
        <v>0</v>
      </c>
      <c r="O2" t="s">
        <v>43</v>
      </c>
      <c r="P2">
        <v>2</v>
      </c>
      <c r="Q2" s="1" t="s">
        <v>31</v>
      </c>
      <c r="R2" t="s">
        <v>32</v>
      </c>
      <c r="S2" s="2">
        <v>-2.9576365049768598</v>
      </c>
      <c r="T2" s="2">
        <v>64.782230482443595</v>
      </c>
      <c r="U2" t="str">
        <f>_xlfn.IFS(Table13[[#This Row],[Risk_Score]]&gt;80,"High",AND(Table13[[#This Row],[Risk_Score]]&lt;=80,Table13[[#This Row],[Risk_Score]]&gt;45),"Normal",Table13[[#This Row],[Risk_Score]]&lt;=45,"Low")</f>
        <v>Normal</v>
      </c>
      <c r="V2" s="7">
        <f t="shared" ref="V2:V65" si="0">IF(M2-N2&gt;0,M2-N2,0)</f>
        <v>1122.0669688548401</v>
      </c>
    </row>
    <row r="3" spans="1:22">
      <c r="A3" t="s">
        <v>33</v>
      </c>
      <c r="B3" t="s">
        <v>34</v>
      </c>
      <c r="C3" s="1" t="s">
        <v>35</v>
      </c>
      <c r="D3" s="2">
        <v>34689.443051700597</v>
      </c>
      <c r="E3" s="4">
        <v>45659</v>
      </c>
      <c r="F3" t="s">
        <v>36</v>
      </c>
      <c r="G3" t="s">
        <v>37</v>
      </c>
      <c r="H3" t="s">
        <v>38</v>
      </c>
      <c r="I3" t="s">
        <v>99</v>
      </c>
      <c r="J3" t="s">
        <v>87</v>
      </c>
      <c r="K3" t="s">
        <v>41</v>
      </c>
      <c r="L3" t="s">
        <v>42</v>
      </c>
      <c r="M3" s="2">
        <v>1324.5209319114399</v>
      </c>
      <c r="N3" s="2">
        <v>0</v>
      </c>
      <c r="O3" t="s">
        <v>43</v>
      </c>
      <c r="P3">
        <v>3</v>
      </c>
      <c r="Q3" t="s">
        <v>44</v>
      </c>
      <c r="R3" t="s">
        <v>45</v>
      </c>
      <c r="S3" s="2">
        <v>19.934346402506499</v>
      </c>
      <c r="T3" s="2">
        <v>23.808521280711801</v>
      </c>
      <c r="U3" t="str">
        <f>_xlfn.IFS(Table13[[#This Row],[Risk_Score]]&gt;80,"High",AND(Table13[[#This Row],[Risk_Score]]&lt;=80,Table13[[#This Row],[Risk_Score]]&gt;45),"Normal",Table13[[#This Row],[Risk_Score]]&lt;=45,"Low")</f>
        <v>Low</v>
      </c>
      <c r="V3" s="7">
        <f t="shared" si="0"/>
        <v>1324.5209319114399</v>
      </c>
    </row>
    <row r="4" spans="1:22">
      <c r="A4" t="s">
        <v>46</v>
      </c>
      <c r="B4" t="s">
        <v>47</v>
      </c>
      <c r="C4" t="s">
        <v>48</v>
      </c>
      <c r="D4" s="2">
        <v>2388.4771935911799</v>
      </c>
      <c r="E4" s="4">
        <v>45660</v>
      </c>
      <c r="F4" t="s">
        <v>49</v>
      </c>
      <c r="G4" t="s">
        <v>50</v>
      </c>
      <c r="H4" t="s">
        <v>25</v>
      </c>
      <c r="I4" t="s">
        <v>51</v>
      </c>
      <c r="J4" s="1" t="s">
        <v>60</v>
      </c>
      <c r="K4" t="s">
        <v>52</v>
      </c>
      <c r="L4" t="s">
        <v>53</v>
      </c>
      <c r="M4" s="2">
        <v>1404.8073655079399</v>
      </c>
      <c r="N4" s="2">
        <v>0</v>
      </c>
      <c r="O4" t="s">
        <v>54</v>
      </c>
      <c r="P4">
        <v>4</v>
      </c>
      <c r="Q4" s="1" t="s">
        <v>55</v>
      </c>
      <c r="R4" t="s">
        <v>45</v>
      </c>
      <c r="S4" s="2">
        <v>-18.153070974532099</v>
      </c>
      <c r="T4" s="2">
        <v>10.4527887875694</v>
      </c>
      <c r="U4" t="str">
        <f>_xlfn.IFS(Table13[[#This Row],[Risk_Score]]&gt;80,"High",AND(Table13[[#This Row],[Risk_Score]]&lt;=80,Table13[[#This Row],[Risk_Score]]&gt;45),"Normal",Table13[[#This Row],[Risk_Score]]&lt;=45,"Low")</f>
        <v>Low</v>
      </c>
      <c r="V4" s="7">
        <f t="shared" si="0"/>
        <v>1404.8073655079399</v>
      </c>
    </row>
    <row r="5" spans="1:22">
      <c r="A5" t="s">
        <v>56</v>
      </c>
      <c r="B5" t="s">
        <v>57</v>
      </c>
      <c r="C5" t="s">
        <v>35</v>
      </c>
      <c r="D5" s="2">
        <v>9195.9655359503104</v>
      </c>
      <c r="E5" s="4">
        <v>45660</v>
      </c>
      <c r="F5" t="s">
        <v>58</v>
      </c>
      <c r="G5" t="s">
        <v>59</v>
      </c>
      <c r="H5" t="s">
        <v>38</v>
      </c>
      <c r="I5" t="s">
        <v>51</v>
      </c>
      <c r="J5" t="s">
        <v>60</v>
      </c>
      <c r="K5" t="s">
        <v>61</v>
      </c>
      <c r="L5" t="s">
        <v>53</v>
      </c>
      <c r="M5" s="2">
        <v>3491.1779577398302</v>
      </c>
      <c r="N5" s="2">
        <v>363.50926350706698</v>
      </c>
      <c r="O5" t="s">
        <v>62</v>
      </c>
      <c r="P5">
        <v>1</v>
      </c>
      <c r="Q5" t="s">
        <v>63</v>
      </c>
      <c r="R5" t="s">
        <v>133</v>
      </c>
      <c r="S5" s="2">
        <v>-14.2178293476642</v>
      </c>
      <c r="T5" s="2">
        <v>46.192520420573501</v>
      </c>
      <c r="U5" t="str">
        <f>_xlfn.IFS(Table13[[#This Row],[Risk_Score]]&gt;80,"High",AND(Table13[[#This Row],[Risk_Score]]&lt;=80,Table13[[#This Row],[Risk_Score]]&gt;45),"Normal",Table13[[#This Row],[Risk_Score]]&lt;=45,"Low")</f>
        <v>Normal</v>
      </c>
      <c r="V5" s="7">
        <f t="shared" si="0"/>
        <v>3127.6686942327601</v>
      </c>
    </row>
    <row r="6" spans="1:22">
      <c r="A6" t="s">
        <v>65</v>
      </c>
      <c r="B6" t="s">
        <v>66</v>
      </c>
      <c r="C6" t="s">
        <v>35</v>
      </c>
      <c r="D6" s="2">
        <v>37110.178517010398</v>
      </c>
      <c r="E6" s="4">
        <v>45660</v>
      </c>
      <c r="F6" t="s">
        <v>67</v>
      </c>
      <c r="G6" t="s">
        <v>68</v>
      </c>
      <c r="H6" t="s">
        <v>1762</v>
      </c>
      <c r="I6" t="s">
        <v>26</v>
      </c>
      <c r="J6" t="s">
        <v>60</v>
      </c>
      <c r="K6" t="s">
        <v>70</v>
      </c>
      <c r="L6" t="s">
        <v>29</v>
      </c>
      <c r="M6" s="2">
        <v>2009.0995143191301</v>
      </c>
      <c r="N6" s="2">
        <v>0</v>
      </c>
      <c r="O6" t="s">
        <v>43</v>
      </c>
      <c r="P6">
        <v>0</v>
      </c>
      <c r="Q6" t="s">
        <v>44</v>
      </c>
      <c r="R6" t="s">
        <v>45</v>
      </c>
      <c r="S6" s="2">
        <v>-25.136426167343799</v>
      </c>
      <c r="T6" s="2">
        <v>44.721374079378499</v>
      </c>
      <c r="U6" t="str">
        <f>_xlfn.IFS(Table13[[#This Row],[Risk_Score]]&gt;80,"High",AND(Table13[[#This Row],[Risk_Score]]&lt;=80,Table13[[#This Row],[Risk_Score]]&gt;45),"Normal",Table13[[#This Row],[Risk_Score]]&lt;=45,"Low")</f>
        <v>Low</v>
      </c>
      <c r="V6" s="7">
        <f t="shared" si="0"/>
        <v>2009.0995143191301</v>
      </c>
    </row>
    <row r="7" spans="1:22">
      <c r="A7" t="s">
        <v>71</v>
      </c>
      <c r="B7" t="s">
        <v>72</v>
      </c>
      <c r="C7" t="s">
        <v>35</v>
      </c>
      <c r="D7" s="2">
        <v>13568.5699973705</v>
      </c>
      <c r="E7" s="4">
        <v>45661</v>
      </c>
      <c r="F7" t="s">
        <v>73</v>
      </c>
      <c r="G7" t="s">
        <v>59</v>
      </c>
      <c r="H7" t="s">
        <v>25</v>
      </c>
      <c r="I7" t="s">
        <v>75</v>
      </c>
      <c r="J7" t="s">
        <v>60</v>
      </c>
      <c r="K7" t="s">
        <v>76</v>
      </c>
      <c r="L7" t="s">
        <v>53</v>
      </c>
      <c r="M7" s="2">
        <v>1468.0450018356901</v>
      </c>
      <c r="N7" s="2">
        <v>0</v>
      </c>
      <c r="O7" t="s">
        <v>43</v>
      </c>
      <c r="P7">
        <v>4</v>
      </c>
      <c r="Q7" t="s">
        <v>31</v>
      </c>
      <c r="R7" t="s">
        <v>32</v>
      </c>
      <c r="S7" s="2">
        <v>-13.665567449637299</v>
      </c>
      <c r="T7" s="2">
        <v>5.9480163108389599</v>
      </c>
      <c r="U7" t="str">
        <f>_xlfn.IFS(Table13[[#This Row],[Risk_Score]]&gt;80,"High",AND(Table13[[#This Row],[Risk_Score]]&lt;=80,Table13[[#This Row],[Risk_Score]]&gt;45),"Normal",Table13[[#This Row],[Risk_Score]]&lt;=45,"Low")</f>
        <v>Low</v>
      </c>
      <c r="V7" s="7">
        <f t="shared" si="0"/>
        <v>1468.0450018356901</v>
      </c>
    </row>
    <row r="8" spans="1:22">
      <c r="A8" t="s">
        <v>77</v>
      </c>
      <c r="B8" t="s">
        <v>78</v>
      </c>
      <c r="C8" t="s">
        <v>22</v>
      </c>
      <c r="D8" s="2">
        <v>23862.9137697718</v>
      </c>
      <c r="E8" s="4">
        <v>45661</v>
      </c>
      <c r="F8" t="s">
        <v>79</v>
      </c>
      <c r="G8" t="s">
        <v>68</v>
      </c>
      <c r="H8" t="s">
        <v>1762</v>
      </c>
      <c r="I8" t="s">
        <v>26</v>
      </c>
      <c r="J8" t="s">
        <v>60</v>
      </c>
      <c r="K8" t="s">
        <v>80</v>
      </c>
      <c r="L8" t="s">
        <v>81</v>
      </c>
      <c r="M8" s="2">
        <v>2169.5105023425099</v>
      </c>
      <c r="N8" s="2">
        <v>488.22826471770497</v>
      </c>
      <c r="O8" t="s">
        <v>43</v>
      </c>
      <c r="P8">
        <v>1</v>
      </c>
      <c r="Q8" t="s">
        <v>44</v>
      </c>
      <c r="R8" t="s">
        <v>45</v>
      </c>
      <c r="S8" s="2">
        <v>-11.235533028696</v>
      </c>
      <c r="T8" s="2">
        <v>84.063264481912498</v>
      </c>
      <c r="U8" t="str">
        <f>_xlfn.IFS(Table13[[#This Row],[Risk_Score]]&gt;80,"High",AND(Table13[[#This Row],[Risk_Score]]&lt;=80,Table13[[#This Row],[Risk_Score]]&gt;45),"Normal",Table13[[#This Row],[Risk_Score]]&lt;=45,"Low")</f>
        <v>High</v>
      </c>
      <c r="V8" s="7">
        <f t="shared" si="0"/>
        <v>1681.28223762481</v>
      </c>
    </row>
    <row r="9" spans="1:22">
      <c r="A9" t="s">
        <v>83</v>
      </c>
      <c r="B9" t="s">
        <v>84</v>
      </c>
      <c r="C9" t="s">
        <v>85</v>
      </c>
      <c r="D9" s="2">
        <v>17191.9604332093</v>
      </c>
      <c r="E9" s="4">
        <v>45661</v>
      </c>
      <c r="F9" t="s">
        <v>86</v>
      </c>
      <c r="G9" t="s">
        <v>24</v>
      </c>
      <c r="H9" t="s">
        <v>1762</v>
      </c>
      <c r="I9" t="s">
        <v>75</v>
      </c>
      <c r="J9" t="s">
        <v>87</v>
      </c>
      <c r="K9" t="s">
        <v>88</v>
      </c>
      <c r="L9" t="s">
        <v>53</v>
      </c>
      <c r="M9" s="2">
        <v>3519.6300568390998</v>
      </c>
      <c r="N9" s="2">
        <v>0</v>
      </c>
      <c r="O9" t="s">
        <v>54</v>
      </c>
      <c r="P9">
        <v>4</v>
      </c>
      <c r="Q9" t="s">
        <v>31</v>
      </c>
      <c r="R9" t="s">
        <v>133</v>
      </c>
      <c r="S9" s="2">
        <v>19.781741065023802</v>
      </c>
      <c r="T9" s="2">
        <v>72.999322464496402</v>
      </c>
      <c r="U9" t="str">
        <f>_xlfn.IFS(Table13[[#This Row],[Risk_Score]]&gt;80,"High",AND(Table13[[#This Row],[Risk_Score]]&lt;=80,Table13[[#This Row],[Risk_Score]]&gt;45),"Normal",Table13[[#This Row],[Risk_Score]]&lt;=45,"Low")</f>
        <v>Normal</v>
      </c>
      <c r="V9" s="7">
        <f t="shared" si="0"/>
        <v>3519.6300568390998</v>
      </c>
    </row>
    <row r="10" spans="1:22">
      <c r="A10" t="s">
        <v>89</v>
      </c>
      <c r="B10" t="s">
        <v>90</v>
      </c>
      <c r="C10" t="s">
        <v>35</v>
      </c>
      <c r="D10" s="2">
        <v>11882.2150025585</v>
      </c>
      <c r="E10" s="4">
        <v>45662</v>
      </c>
      <c r="F10" t="s">
        <v>91</v>
      </c>
      <c r="G10" t="s">
        <v>92</v>
      </c>
      <c r="H10" t="s">
        <v>38</v>
      </c>
      <c r="I10" t="s">
        <v>26</v>
      </c>
      <c r="J10" t="s">
        <v>87</v>
      </c>
      <c r="K10" t="s">
        <v>94</v>
      </c>
      <c r="L10" t="s">
        <v>53</v>
      </c>
      <c r="M10" s="2">
        <v>4665.8201717695201</v>
      </c>
      <c r="N10" s="2">
        <v>0</v>
      </c>
      <c r="O10" t="s">
        <v>62</v>
      </c>
      <c r="P10">
        <v>1</v>
      </c>
      <c r="Q10" t="s">
        <v>95</v>
      </c>
      <c r="R10" t="s">
        <v>45</v>
      </c>
      <c r="S10" s="2">
        <v>-10.5176799445042</v>
      </c>
      <c r="T10" s="2">
        <v>92.950570536814894</v>
      </c>
      <c r="U10" t="str">
        <f>_xlfn.IFS(Table13[[#This Row],[Risk_Score]]&gt;80,"High",AND(Table13[[#This Row],[Risk_Score]]&lt;=80,Table13[[#This Row],[Risk_Score]]&gt;45),"Normal",Table13[[#This Row],[Risk_Score]]&lt;=45,"Low")</f>
        <v>High</v>
      </c>
      <c r="V10" s="7">
        <f t="shared" si="0"/>
        <v>4665.8201717695201</v>
      </c>
    </row>
    <row r="11" spans="1:22">
      <c r="A11" t="s">
        <v>96</v>
      </c>
      <c r="B11" t="s">
        <v>97</v>
      </c>
      <c r="C11" t="s">
        <v>22</v>
      </c>
      <c r="D11" s="2">
        <v>20506.863336566101</v>
      </c>
      <c r="E11" s="4">
        <v>45664</v>
      </c>
      <c r="F11" t="s">
        <v>98</v>
      </c>
      <c r="G11" t="s">
        <v>50</v>
      </c>
      <c r="H11" t="s">
        <v>25</v>
      </c>
      <c r="I11" t="s">
        <v>99</v>
      </c>
      <c r="J11" t="s">
        <v>87</v>
      </c>
      <c r="K11" t="s">
        <v>100</v>
      </c>
      <c r="L11" t="s">
        <v>53</v>
      </c>
      <c r="M11" s="2">
        <v>4024.7574414800602</v>
      </c>
      <c r="N11" s="2">
        <v>0</v>
      </c>
      <c r="O11" t="s">
        <v>62</v>
      </c>
      <c r="P11">
        <v>3</v>
      </c>
      <c r="Q11" t="s">
        <v>31</v>
      </c>
      <c r="R11" t="s">
        <v>32</v>
      </c>
      <c r="S11" s="2">
        <v>-26.6251983410897</v>
      </c>
      <c r="T11" s="2">
        <v>3.5766243014935202</v>
      </c>
      <c r="U11" t="str">
        <f>_xlfn.IFS(Table13[[#This Row],[Risk_Score]]&gt;80,"High",AND(Table13[[#This Row],[Risk_Score]]&lt;=80,Table13[[#This Row],[Risk_Score]]&gt;45),"Normal",Table13[[#This Row],[Risk_Score]]&lt;=45,"Low")</f>
        <v>Low</v>
      </c>
      <c r="V11" s="7">
        <f t="shared" si="0"/>
        <v>4024.7574414800602</v>
      </c>
    </row>
    <row r="12" spans="1:22">
      <c r="A12" t="s">
        <v>103</v>
      </c>
      <c r="B12" t="s">
        <v>104</v>
      </c>
      <c r="C12" t="s">
        <v>48</v>
      </c>
      <c r="D12" s="2">
        <v>49269.828880862602</v>
      </c>
      <c r="E12" s="4">
        <v>45664</v>
      </c>
      <c r="F12" t="s">
        <v>105</v>
      </c>
      <c r="G12" t="s">
        <v>1763</v>
      </c>
      <c r="H12" t="s">
        <v>1762</v>
      </c>
      <c r="I12" t="s">
        <v>26</v>
      </c>
      <c r="J12" t="s">
        <v>60</v>
      </c>
      <c r="K12" t="s">
        <v>107</v>
      </c>
      <c r="L12" t="s">
        <v>29</v>
      </c>
      <c r="M12" s="2">
        <v>2449.2131088347201</v>
      </c>
      <c r="N12" s="2">
        <v>0</v>
      </c>
      <c r="O12" t="s">
        <v>43</v>
      </c>
      <c r="P12">
        <v>0</v>
      </c>
      <c r="Q12" t="s">
        <v>63</v>
      </c>
      <c r="R12" t="s">
        <v>133</v>
      </c>
      <c r="S12" s="2">
        <v>2.6509889386081098</v>
      </c>
      <c r="T12" s="2">
        <v>1.8371654538104401</v>
      </c>
      <c r="U12" t="str">
        <f>_xlfn.IFS(Table13[[#This Row],[Risk_Score]]&gt;80,"High",AND(Table13[[#This Row],[Risk_Score]]&lt;=80,Table13[[#This Row],[Risk_Score]]&gt;45),"Normal",Table13[[#This Row],[Risk_Score]]&lt;=45,"Low")</f>
        <v>Low</v>
      </c>
      <c r="V12" s="7">
        <f t="shared" si="0"/>
        <v>2449.2131088347201</v>
      </c>
    </row>
    <row r="13" spans="1:22">
      <c r="A13" t="s">
        <v>108</v>
      </c>
      <c r="B13" t="s">
        <v>109</v>
      </c>
      <c r="C13" t="s">
        <v>22</v>
      </c>
      <c r="D13" s="2">
        <v>3269.2402965410702</v>
      </c>
      <c r="E13" s="4">
        <v>45664</v>
      </c>
      <c r="F13" t="s">
        <v>110</v>
      </c>
      <c r="G13" t="s">
        <v>92</v>
      </c>
      <c r="H13" t="s">
        <v>38</v>
      </c>
      <c r="I13" t="s">
        <v>75</v>
      </c>
      <c r="J13" t="s">
        <v>60</v>
      </c>
      <c r="K13" t="s">
        <v>111</v>
      </c>
      <c r="L13" t="s">
        <v>29</v>
      </c>
      <c r="M13" s="2">
        <v>731.26718527188905</v>
      </c>
      <c r="N13" s="2">
        <v>0</v>
      </c>
      <c r="O13" t="s">
        <v>62</v>
      </c>
      <c r="P13">
        <v>2</v>
      </c>
      <c r="Q13" t="s">
        <v>95</v>
      </c>
      <c r="R13" t="s">
        <v>32</v>
      </c>
      <c r="S13" s="2">
        <v>-14.5313475585997</v>
      </c>
      <c r="T13" s="2">
        <v>37.110609109953899</v>
      </c>
      <c r="U13" t="str">
        <f>_xlfn.IFS(Table13[[#This Row],[Risk_Score]]&gt;80,"High",AND(Table13[[#This Row],[Risk_Score]]&lt;=80,Table13[[#This Row],[Risk_Score]]&gt;45),"Normal",Table13[[#This Row],[Risk_Score]]&lt;=45,"Low")</f>
        <v>Low</v>
      </c>
      <c r="V13" s="7">
        <f t="shared" si="0"/>
        <v>731.26718527188905</v>
      </c>
    </row>
    <row r="14" spans="1:22">
      <c r="A14" t="s">
        <v>112</v>
      </c>
      <c r="B14" t="s">
        <v>113</v>
      </c>
      <c r="C14" t="s">
        <v>48</v>
      </c>
      <c r="D14" s="2">
        <v>30344.483864686299</v>
      </c>
      <c r="E14" s="4">
        <v>45664</v>
      </c>
      <c r="F14" t="s">
        <v>114</v>
      </c>
      <c r="G14" t="s">
        <v>92</v>
      </c>
      <c r="H14" t="s">
        <v>38</v>
      </c>
      <c r="I14" t="s">
        <v>75</v>
      </c>
      <c r="J14" t="s">
        <v>60</v>
      </c>
      <c r="K14" t="s">
        <v>115</v>
      </c>
      <c r="L14" t="s">
        <v>81</v>
      </c>
      <c r="M14" s="2">
        <v>4393.3880266856904</v>
      </c>
      <c r="N14" s="2">
        <v>90.881798880597103</v>
      </c>
      <c r="O14" t="s">
        <v>43</v>
      </c>
      <c r="P14">
        <v>3</v>
      </c>
      <c r="Q14" t="s">
        <v>44</v>
      </c>
      <c r="R14" t="s">
        <v>45</v>
      </c>
      <c r="S14" s="2">
        <v>-3.2616719506702898</v>
      </c>
      <c r="T14" s="2">
        <v>64.803165733086203</v>
      </c>
      <c r="U14" t="str">
        <f>_xlfn.IFS(Table13[[#This Row],[Risk_Score]]&gt;80,"High",AND(Table13[[#This Row],[Risk_Score]]&lt;=80,Table13[[#This Row],[Risk_Score]]&gt;45),"Normal",Table13[[#This Row],[Risk_Score]]&lt;=45,"Low")</f>
        <v>Normal</v>
      </c>
      <c r="V14" s="7">
        <f t="shared" si="0"/>
        <v>4302.50622780509</v>
      </c>
    </row>
    <row r="15" spans="1:22">
      <c r="A15" t="s">
        <v>116</v>
      </c>
      <c r="B15" t="s">
        <v>117</v>
      </c>
      <c r="C15" t="s">
        <v>22</v>
      </c>
      <c r="D15" s="2">
        <v>23338.436103708798</v>
      </c>
      <c r="E15" s="4">
        <v>45665</v>
      </c>
      <c r="F15" t="s">
        <v>118</v>
      </c>
      <c r="G15" t="s">
        <v>24</v>
      </c>
      <c r="H15" t="s">
        <v>25</v>
      </c>
      <c r="I15" t="s">
        <v>26</v>
      </c>
      <c r="J15" t="s">
        <v>87</v>
      </c>
      <c r="K15" t="s">
        <v>119</v>
      </c>
      <c r="L15" t="s">
        <v>120</v>
      </c>
      <c r="M15" s="2">
        <v>0</v>
      </c>
      <c r="N15" s="2">
        <v>37.639358325836803</v>
      </c>
      <c r="O15" t="s">
        <v>54</v>
      </c>
      <c r="P15">
        <v>2</v>
      </c>
      <c r="Q15" t="s">
        <v>95</v>
      </c>
      <c r="R15" t="s">
        <v>32</v>
      </c>
      <c r="S15" s="2">
        <v>20.4803831403629</v>
      </c>
      <c r="T15" s="2">
        <v>51.258390313250999</v>
      </c>
      <c r="U15" t="str">
        <f>_xlfn.IFS(Table13[[#This Row],[Risk_Score]]&gt;80,"High",AND(Table13[[#This Row],[Risk_Score]]&lt;=80,Table13[[#This Row],[Risk_Score]]&gt;45),"Normal",Table13[[#This Row],[Risk_Score]]&lt;=45,"Low")</f>
        <v>Normal</v>
      </c>
      <c r="V15" s="7">
        <f t="shared" si="0"/>
        <v>0</v>
      </c>
    </row>
    <row r="16" spans="1:22">
      <c r="A16" t="s">
        <v>121</v>
      </c>
      <c r="B16" t="s">
        <v>122</v>
      </c>
      <c r="C16" t="s">
        <v>35</v>
      </c>
      <c r="D16" s="2">
        <v>31983.5743281797</v>
      </c>
      <c r="E16" s="4">
        <v>45665</v>
      </c>
      <c r="F16" t="s">
        <v>123</v>
      </c>
      <c r="G16" t="s">
        <v>59</v>
      </c>
      <c r="H16" t="s">
        <v>1762</v>
      </c>
      <c r="I16" t="s">
        <v>99</v>
      </c>
      <c r="J16" t="s">
        <v>87</v>
      </c>
      <c r="K16" t="s">
        <v>124</v>
      </c>
      <c r="L16" t="s">
        <v>81</v>
      </c>
      <c r="M16" s="2">
        <v>172.58614400194801</v>
      </c>
      <c r="N16" s="2">
        <v>0</v>
      </c>
      <c r="O16" t="s">
        <v>62</v>
      </c>
      <c r="P16">
        <v>0</v>
      </c>
      <c r="Q16" t="s">
        <v>31</v>
      </c>
      <c r="R16" t="s">
        <v>45</v>
      </c>
      <c r="S16" s="2">
        <v>19.292134673381199</v>
      </c>
      <c r="T16" s="2">
        <v>86.007351898979294</v>
      </c>
      <c r="U16" t="str">
        <f>_xlfn.IFS(Table13[[#This Row],[Risk_Score]]&gt;80,"High",AND(Table13[[#This Row],[Risk_Score]]&lt;=80,Table13[[#This Row],[Risk_Score]]&gt;45),"Normal",Table13[[#This Row],[Risk_Score]]&lt;=45,"Low")</f>
        <v>High</v>
      </c>
      <c r="V16" s="7">
        <f t="shared" si="0"/>
        <v>172.58614400194801</v>
      </c>
    </row>
    <row r="17" spans="1:22">
      <c r="A17" t="s">
        <v>125</v>
      </c>
      <c r="B17" t="s">
        <v>126</v>
      </c>
      <c r="C17" t="s">
        <v>35</v>
      </c>
      <c r="D17" s="2">
        <v>6742.5347365151601</v>
      </c>
      <c r="E17" s="4">
        <v>45666</v>
      </c>
      <c r="F17" t="s">
        <v>127</v>
      </c>
      <c r="G17" t="s">
        <v>68</v>
      </c>
      <c r="H17" t="s">
        <v>25</v>
      </c>
      <c r="I17" t="s">
        <v>51</v>
      </c>
      <c r="J17" t="s">
        <v>60</v>
      </c>
      <c r="K17" t="s">
        <v>128</v>
      </c>
      <c r="L17" t="s">
        <v>42</v>
      </c>
      <c r="M17" s="2">
        <v>752.87158379281902</v>
      </c>
      <c r="N17" s="2">
        <v>0</v>
      </c>
      <c r="O17" t="s">
        <v>43</v>
      </c>
      <c r="P17">
        <v>3</v>
      </c>
      <c r="Q17" s="1" t="s">
        <v>44</v>
      </c>
      <c r="R17" t="s">
        <v>32</v>
      </c>
      <c r="S17" s="2">
        <v>-1.71801093552939</v>
      </c>
      <c r="T17" s="2">
        <v>27.2285660708134</v>
      </c>
      <c r="U17" t="str">
        <f>_xlfn.IFS(Table13[[#This Row],[Risk_Score]]&gt;80,"High",AND(Table13[[#This Row],[Risk_Score]]&lt;=80,Table13[[#This Row],[Risk_Score]]&gt;45),"Normal",Table13[[#This Row],[Risk_Score]]&lt;=45,"Low")</f>
        <v>Low</v>
      </c>
      <c r="V17" s="7">
        <f t="shared" si="0"/>
        <v>752.87158379281902</v>
      </c>
    </row>
    <row r="18" spans="1:22">
      <c r="A18" t="s">
        <v>129</v>
      </c>
      <c r="B18" t="s">
        <v>130</v>
      </c>
      <c r="C18" t="s">
        <v>35</v>
      </c>
      <c r="D18" s="2">
        <v>12293.222457686299</v>
      </c>
      <c r="E18" s="4">
        <v>45666</v>
      </c>
      <c r="F18" t="s">
        <v>131</v>
      </c>
      <c r="G18" t="s">
        <v>24</v>
      </c>
      <c r="H18" t="s">
        <v>1762</v>
      </c>
      <c r="I18" t="s">
        <v>75</v>
      </c>
      <c r="J18" t="s">
        <v>60</v>
      </c>
      <c r="K18" t="s">
        <v>132</v>
      </c>
      <c r="L18" t="s">
        <v>81</v>
      </c>
      <c r="M18" s="2">
        <v>2396.3310164447998</v>
      </c>
      <c r="N18" s="2">
        <v>0</v>
      </c>
      <c r="O18" t="s">
        <v>43</v>
      </c>
      <c r="P18">
        <v>1</v>
      </c>
      <c r="Q18" t="s">
        <v>63</v>
      </c>
      <c r="R18" t="s">
        <v>133</v>
      </c>
      <c r="S18" s="2">
        <v>-23.789223179632099</v>
      </c>
      <c r="T18" s="2">
        <v>14.4579710239585</v>
      </c>
      <c r="U18" t="str">
        <f>_xlfn.IFS(Table13[[#This Row],[Risk_Score]]&gt;80,"High",AND(Table13[[#This Row],[Risk_Score]]&lt;=80,Table13[[#This Row],[Risk_Score]]&gt;45),"Normal",Table13[[#This Row],[Risk_Score]]&lt;=45,"Low")</f>
        <v>Low</v>
      </c>
      <c r="V18" s="7">
        <f t="shared" si="0"/>
        <v>2396.3310164447998</v>
      </c>
    </row>
    <row r="19" spans="1:22">
      <c r="A19" t="s">
        <v>134</v>
      </c>
      <c r="B19" t="s">
        <v>135</v>
      </c>
      <c r="C19" t="s">
        <v>85</v>
      </c>
      <c r="D19" s="2">
        <v>43045.537692747603</v>
      </c>
      <c r="E19" s="4">
        <v>45666</v>
      </c>
      <c r="F19" t="s">
        <v>136</v>
      </c>
      <c r="G19" t="s">
        <v>24</v>
      </c>
      <c r="H19" t="s">
        <v>1763</v>
      </c>
      <c r="I19" t="s">
        <v>75</v>
      </c>
      <c r="J19" t="s">
        <v>87</v>
      </c>
      <c r="K19" t="s">
        <v>137</v>
      </c>
      <c r="L19" t="s">
        <v>81</v>
      </c>
      <c r="M19" s="2">
        <v>1036.7601728823599</v>
      </c>
      <c r="N19" s="2">
        <v>0</v>
      </c>
      <c r="O19" t="s">
        <v>43</v>
      </c>
      <c r="P19">
        <v>2</v>
      </c>
      <c r="Q19" t="s">
        <v>55</v>
      </c>
      <c r="R19" t="s">
        <v>32</v>
      </c>
      <c r="S19" s="2">
        <v>-20.9673247162665</v>
      </c>
      <c r="T19" s="2">
        <v>78.168709776639702</v>
      </c>
      <c r="U19" t="str">
        <f>_xlfn.IFS(Table13[[#This Row],[Risk_Score]]&gt;80,"High",AND(Table13[[#This Row],[Risk_Score]]&lt;=80,Table13[[#This Row],[Risk_Score]]&gt;45),"Normal",Table13[[#This Row],[Risk_Score]]&lt;=45,"Low")</f>
        <v>Normal</v>
      </c>
      <c r="V19" s="7">
        <f t="shared" si="0"/>
        <v>1036.7601728823599</v>
      </c>
    </row>
    <row r="20" spans="1:22">
      <c r="A20" t="s">
        <v>138</v>
      </c>
      <c r="B20" t="s">
        <v>139</v>
      </c>
      <c r="C20" t="s">
        <v>22</v>
      </c>
      <c r="D20" s="2">
        <v>45540.137776661199</v>
      </c>
      <c r="E20" s="4">
        <v>45666</v>
      </c>
      <c r="F20" t="s">
        <v>140</v>
      </c>
      <c r="G20" t="s">
        <v>141</v>
      </c>
      <c r="H20" t="s">
        <v>38</v>
      </c>
      <c r="I20" t="s">
        <v>26</v>
      </c>
      <c r="J20" t="s">
        <v>87</v>
      </c>
      <c r="K20" t="s">
        <v>142</v>
      </c>
      <c r="L20" t="s">
        <v>120</v>
      </c>
      <c r="M20" s="2">
        <v>1729.1404770393301</v>
      </c>
      <c r="N20" s="2">
        <v>0</v>
      </c>
      <c r="O20" t="s">
        <v>54</v>
      </c>
      <c r="P20">
        <v>0</v>
      </c>
      <c r="Q20" t="s">
        <v>63</v>
      </c>
      <c r="R20" t="s">
        <v>133</v>
      </c>
      <c r="S20" s="2">
        <v>6.6575699659352798</v>
      </c>
      <c r="T20" s="2">
        <v>26.124513245358202</v>
      </c>
      <c r="U20" t="str">
        <f>_xlfn.IFS(Table13[[#This Row],[Risk_Score]]&gt;80,"High",AND(Table13[[#This Row],[Risk_Score]]&lt;=80,Table13[[#This Row],[Risk_Score]]&gt;45),"Normal",Table13[[#This Row],[Risk_Score]]&lt;=45,"Low")</f>
        <v>Low</v>
      </c>
      <c r="V20" s="7">
        <f t="shared" si="0"/>
        <v>1729.1404770393301</v>
      </c>
    </row>
    <row r="21" spans="1:22">
      <c r="A21" t="s">
        <v>143</v>
      </c>
      <c r="B21" t="s">
        <v>144</v>
      </c>
      <c r="C21" t="s">
        <v>22</v>
      </c>
      <c r="D21" s="2">
        <v>17319.623128337102</v>
      </c>
      <c r="E21" s="4">
        <v>45668</v>
      </c>
      <c r="F21" t="s">
        <v>145</v>
      </c>
      <c r="G21" t="s">
        <v>59</v>
      </c>
      <c r="H21" t="s">
        <v>1762</v>
      </c>
      <c r="I21" t="s">
        <v>99</v>
      </c>
      <c r="J21" t="s">
        <v>87</v>
      </c>
      <c r="K21" t="s">
        <v>146</v>
      </c>
      <c r="L21" t="s">
        <v>81</v>
      </c>
      <c r="M21" s="2">
        <v>3926.9165005505602</v>
      </c>
      <c r="N21" s="2">
        <v>204.591293729244</v>
      </c>
      <c r="O21" t="s">
        <v>62</v>
      </c>
      <c r="P21">
        <v>1</v>
      </c>
      <c r="Q21" t="s">
        <v>44</v>
      </c>
      <c r="R21" t="s">
        <v>45</v>
      </c>
      <c r="S21" s="2">
        <v>-10.8928819916517</v>
      </c>
      <c r="T21" s="2">
        <v>11.0172120253633</v>
      </c>
      <c r="U21" t="str">
        <f>_xlfn.IFS(Table13[[#This Row],[Risk_Score]]&gt;80,"High",AND(Table13[[#This Row],[Risk_Score]]&lt;=80,Table13[[#This Row],[Risk_Score]]&gt;45),"Normal",Table13[[#This Row],[Risk_Score]]&lt;=45,"Low")</f>
        <v>Low</v>
      </c>
      <c r="V21" s="7">
        <f t="shared" si="0"/>
        <v>3722.3252068213201</v>
      </c>
    </row>
    <row r="22" spans="1:22">
      <c r="A22" t="s">
        <v>147</v>
      </c>
      <c r="B22" t="s">
        <v>148</v>
      </c>
      <c r="C22" t="s">
        <v>85</v>
      </c>
      <c r="D22" s="2">
        <v>24106.288624540499</v>
      </c>
      <c r="E22" s="4">
        <v>45668</v>
      </c>
      <c r="F22" t="s">
        <v>149</v>
      </c>
      <c r="G22" t="s">
        <v>141</v>
      </c>
      <c r="H22" t="s">
        <v>1762</v>
      </c>
      <c r="I22" t="s">
        <v>99</v>
      </c>
      <c r="J22" t="s">
        <v>87</v>
      </c>
      <c r="K22" t="s">
        <v>150</v>
      </c>
      <c r="L22" t="s">
        <v>81</v>
      </c>
      <c r="M22" s="2">
        <v>601.86405480197095</v>
      </c>
      <c r="N22" s="2">
        <v>0</v>
      </c>
      <c r="O22" t="s">
        <v>62</v>
      </c>
      <c r="P22">
        <v>3</v>
      </c>
      <c r="Q22" t="s">
        <v>63</v>
      </c>
      <c r="R22" t="s">
        <v>32</v>
      </c>
      <c r="S22" s="2">
        <v>6.9752424342487496</v>
      </c>
      <c r="T22" s="2">
        <v>10.8077493666388</v>
      </c>
      <c r="U22" t="str">
        <f>_xlfn.IFS(Table13[[#This Row],[Risk_Score]]&gt;80,"High",AND(Table13[[#This Row],[Risk_Score]]&lt;=80,Table13[[#This Row],[Risk_Score]]&gt;45),"Normal",Table13[[#This Row],[Risk_Score]]&lt;=45,"Low")</f>
        <v>Low</v>
      </c>
      <c r="V22" s="7">
        <f t="shared" si="0"/>
        <v>601.86405480197095</v>
      </c>
    </row>
    <row r="23" spans="1:22">
      <c r="A23" t="s">
        <v>151</v>
      </c>
      <c r="B23" t="s">
        <v>152</v>
      </c>
      <c r="C23" t="s">
        <v>48</v>
      </c>
      <c r="D23" s="2">
        <v>6700.5829351539896</v>
      </c>
      <c r="E23" s="4">
        <v>45669</v>
      </c>
      <c r="F23" t="s">
        <v>153</v>
      </c>
      <c r="G23" t="s">
        <v>92</v>
      </c>
      <c r="H23" t="s">
        <v>38</v>
      </c>
      <c r="I23" t="s">
        <v>99</v>
      </c>
      <c r="J23" t="s">
        <v>60</v>
      </c>
      <c r="K23" t="s">
        <v>154</v>
      </c>
      <c r="L23" t="s">
        <v>155</v>
      </c>
      <c r="M23" s="2">
        <v>3110.5394538362002</v>
      </c>
      <c r="N23" s="2">
        <v>262.65913222536102</v>
      </c>
      <c r="O23" t="s">
        <v>43</v>
      </c>
      <c r="P23">
        <v>3</v>
      </c>
      <c r="Q23" t="s">
        <v>44</v>
      </c>
      <c r="R23" t="s">
        <v>32</v>
      </c>
      <c r="S23" s="2">
        <v>23.025720927481899</v>
      </c>
      <c r="T23" s="2">
        <v>65.976364045308401</v>
      </c>
      <c r="U23" t="str">
        <f>_xlfn.IFS(Table13[[#This Row],[Risk_Score]]&gt;80,"High",AND(Table13[[#This Row],[Risk_Score]]&lt;=80,Table13[[#This Row],[Risk_Score]]&gt;45),"Normal",Table13[[#This Row],[Risk_Score]]&lt;=45,"Low")</f>
        <v>Normal</v>
      </c>
      <c r="V23" s="7">
        <f t="shared" si="0"/>
        <v>2847.8803216108399</v>
      </c>
    </row>
    <row r="24" spans="1:22">
      <c r="A24" t="s">
        <v>156</v>
      </c>
      <c r="B24" t="s">
        <v>157</v>
      </c>
      <c r="C24" t="s">
        <v>85</v>
      </c>
      <c r="D24" s="2">
        <v>30433.930250333498</v>
      </c>
      <c r="E24" s="4">
        <v>45669</v>
      </c>
      <c r="F24" t="s">
        <v>158</v>
      </c>
      <c r="G24" t="s">
        <v>141</v>
      </c>
      <c r="H24" t="s">
        <v>25</v>
      </c>
      <c r="I24" t="s">
        <v>99</v>
      </c>
      <c r="J24" t="s">
        <v>87</v>
      </c>
      <c r="K24" t="s">
        <v>159</v>
      </c>
      <c r="L24" t="s">
        <v>42</v>
      </c>
      <c r="M24" s="2">
        <v>2678.9920068707602</v>
      </c>
      <c r="N24" s="2">
        <v>0</v>
      </c>
      <c r="O24" t="s">
        <v>43</v>
      </c>
      <c r="P24">
        <v>4</v>
      </c>
      <c r="Q24" t="s">
        <v>31</v>
      </c>
      <c r="R24" t="s">
        <v>45</v>
      </c>
      <c r="S24" s="2">
        <v>-4.6476371865687103</v>
      </c>
      <c r="T24" s="2">
        <v>32.877428749259103</v>
      </c>
      <c r="U24" t="str">
        <f>_xlfn.IFS(Table13[[#This Row],[Risk_Score]]&gt;80,"High",AND(Table13[[#This Row],[Risk_Score]]&lt;=80,Table13[[#This Row],[Risk_Score]]&gt;45),"Normal",Table13[[#This Row],[Risk_Score]]&lt;=45,"Low")</f>
        <v>Low</v>
      </c>
      <c r="V24" s="7">
        <f t="shared" si="0"/>
        <v>2678.9920068707602</v>
      </c>
    </row>
    <row r="25" spans="1:22">
      <c r="A25" t="s">
        <v>160</v>
      </c>
      <c r="B25" t="s">
        <v>161</v>
      </c>
      <c r="C25" t="s">
        <v>35</v>
      </c>
      <c r="D25" s="2">
        <v>41274.120566970603</v>
      </c>
      <c r="E25" s="4">
        <v>45669</v>
      </c>
      <c r="F25" t="s">
        <v>162</v>
      </c>
      <c r="G25" t="s">
        <v>163</v>
      </c>
      <c r="H25" t="s">
        <v>25</v>
      </c>
      <c r="I25" t="s">
        <v>51</v>
      </c>
      <c r="J25" t="s">
        <v>60</v>
      </c>
      <c r="K25" t="s">
        <v>164</v>
      </c>
      <c r="L25" t="s">
        <v>29</v>
      </c>
      <c r="M25" s="2">
        <v>1663.11264594816</v>
      </c>
      <c r="N25" s="2">
        <v>0</v>
      </c>
      <c r="O25" t="s">
        <v>43</v>
      </c>
      <c r="P25">
        <v>2</v>
      </c>
      <c r="Q25" t="s">
        <v>63</v>
      </c>
      <c r="R25" t="s">
        <v>133</v>
      </c>
      <c r="S25" s="2">
        <v>21.396740173495601</v>
      </c>
      <c r="T25" s="2">
        <v>39.9598511620868</v>
      </c>
      <c r="U25" t="str">
        <f>_xlfn.IFS(Table13[[#This Row],[Risk_Score]]&gt;80,"High",AND(Table13[[#This Row],[Risk_Score]]&lt;=80,Table13[[#This Row],[Risk_Score]]&gt;45),"Normal",Table13[[#This Row],[Risk_Score]]&lt;=45,"Low")</f>
        <v>Low</v>
      </c>
      <c r="V25" s="7">
        <f t="shared" si="0"/>
        <v>1663.11264594816</v>
      </c>
    </row>
    <row r="26" spans="1:22">
      <c r="A26" t="s">
        <v>165</v>
      </c>
      <c r="B26" t="s">
        <v>166</v>
      </c>
      <c r="C26" t="s">
        <v>48</v>
      </c>
      <c r="D26" s="2">
        <v>34591.9706947218</v>
      </c>
      <c r="E26" s="4">
        <v>45669</v>
      </c>
      <c r="F26" t="s">
        <v>167</v>
      </c>
      <c r="G26" t="s">
        <v>59</v>
      </c>
      <c r="H26" t="s">
        <v>38</v>
      </c>
      <c r="I26" t="s">
        <v>51</v>
      </c>
      <c r="J26" t="s">
        <v>87</v>
      </c>
      <c r="K26" t="s">
        <v>168</v>
      </c>
      <c r="L26" t="s">
        <v>120</v>
      </c>
      <c r="M26" s="2">
        <v>3350.32107279507</v>
      </c>
      <c r="N26" s="2">
        <v>33.027653911080002</v>
      </c>
      <c r="O26" t="s">
        <v>62</v>
      </c>
      <c r="P26">
        <v>3</v>
      </c>
      <c r="Q26" t="s">
        <v>44</v>
      </c>
      <c r="R26" t="s">
        <v>32</v>
      </c>
      <c r="S26" s="2">
        <v>21.5245437907985</v>
      </c>
      <c r="T26" s="2">
        <v>68.686649373490994</v>
      </c>
      <c r="U26" t="str">
        <f>_xlfn.IFS(Table13[[#This Row],[Risk_Score]]&gt;80,"High",AND(Table13[[#This Row],[Risk_Score]]&lt;=80,Table13[[#This Row],[Risk_Score]]&gt;45),"Normal",Table13[[#This Row],[Risk_Score]]&lt;=45,"Low")</f>
        <v>Normal</v>
      </c>
      <c r="V26" s="7">
        <f t="shared" si="0"/>
        <v>3317.2934188839899</v>
      </c>
    </row>
    <row r="27" spans="1:22">
      <c r="A27" t="s">
        <v>169</v>
      </c>
      <c r="B27" t="s">
        <v>170</v>
      </c>
      <c r="C27" t="s">
        <v>35</v>
      </c>
      <c r="D27" s="2">
        <v>888888</v>
      </c>
      <c r="E27" s="4">
        <v>45669</v>
      </c>
      <c r="F27" t="s">
        <v>171</v>
      </c>
      <c r="G27" t="s">
        <v>172</v>
      </c>
      <c r="H27" t="s">
        <v>25</v>
      </c>
      <c r="I27" t="s">
        <v>99</v>
      </c>
      <c r="J27" t="s">
        <v>87</v>
      </c>
      <c r="K27" t="s">
        <v>174</v>
      </c>
      <c r="L27" t="s">
        <v>53</v>
      </c>
      <c r="M27" s="2">
        <v>261.561050006659</v>
      </c>
      <c r="N27" s="2">
        <v>40.723606445579598</v>
      </c>
      <c r="O27" t="s">
        <v>43</v>
      </c>
      <c r="P27">
        <v>2</v>
      </c>
      <c r="Q27" t="s">
        <v>95</v>
      </c>
      <c r="R27" t="s">
        <v>32</v>
      </c>
      <c r="S27" s="2">
        <v>-10.7560144593196</v>
      </c>
      <c r="T27" s="2">
        <v>7.0368107906029298</v>
      </c>
      <c r="U27" t="str">
        <f>_xlfn.IFS(Table13[[#This Row],[Risk_Score]]&gt;80,"High",AND(Table13[[#This Row],[Risk_Score]]&lt;=80,Table13[[#This Row],[Risk_Score]]&gt;45),"Normal",Table13[[#This Row],[Risk_Score]]&lt;=45,"Low")</f>
        <v>Low</v>
      </c>
      <c r="V27" s="7">
        <f t="shared" si="0"/>
        <v>220.837443561079</v>
      </c>
    </row>
    <row r="28" spans="1:22">
      <c r="A28" t="s">
        <v>175</v>
      </c>
      <c r="B28" t="s">
        <v>144</v>
      </c>
      <c r="C28" t="s">
        <v>85</v>
      </c>
      <c r="D28" s="2">
        <v>31724.552329636801</v>
      </c>
      <c r="E28" s="4">
        <v>45670</v>
      </c>
      <c r="F28" t="s">
        <v>176</v>
      </c>
      <c r="G28" t="s">
        <v>141</v>
      </c>
      <c r="H28" t="s">
        <v>1762</v>
      </c>
      <c r="I28" t="s">
        <v>51</v>
      </c>
      <c r="J28" t="s">
        <v>87</v>
      </c>
      <c r="K28" t="s">
        <v>177</v>
      </c>
      <c r="L28" t="s">
        <v>42</v>
      </c>
      <c r="M28" s="2">
        <v>140.46159513135601</v>
      </c>
      <c r="N28" s="2">
        <v>433.85104895962002</v>
      </c>
      <c r="O28" t="s">
        <v>43</v>
      </c>
      <c r="P28">
        <v>2</v>
      </c>
      <c r="Q28" t="s">
        <v>44</v>
      </c>
      <c r="R28" t="s">
        <v>133</v>
      </c>
      <c r="S28" s="2">
        <v>3.2895477901983701</v>
      </c>
      <c r="T28" s="2">
        <v>67.890084223020693</v>
      </c>
      <c r="U28" t="str">
        <f>_xlfn.IFS(Table13[[#This Row],[Risk_Score]]&gt;80,"High",AND(Table13[[#This Row],[Risk_Score]]&lt;=80,Table13[[#This Row],[Risk_Score]]&gt;45),"Normal",Table13[[#This Row],[Risk_Score]]&lt;=45,"Low")</f>
        <v>Normal</v>
      </c>
      <c r="V28" s="7">
        <f t="shared" si="0"/>
        <v>0</v>
      </c>
    </row>
    <row r="29" spans="1:22">
      <c r="A29" t="s">
        <v>178</v>
      </c>
      <c r="B29" t="s">
        <v>179</v>
      </c>
      <c r="C29" t="s">
        <v>85</v>
      </c>
      <c r="D29" s="2">
        <v>45177.854250537697</v>
      </c>
      <c r="E29" s="4">
        <v>45671</v>
      </c>
      <c r="F29" t="s">
        <v>180</v>
      </c>
      <c r="G29" t="s">
        <v>181</v>
      </c>
      <c r="H29" t="s">
        <v>1762</v>
      </c>
      <c r="I29" t="s">
        <v>99</v>
      </c>
      <c r="J29" t="s">
        <v>87</v>
      </c>
      <c r="K29" t="s">
        <v>182</v>
      </c>
      <c r="L29" t="s">
        <v>81</v>
      </c>
      <c r="M29" s="2">
        <v>3653.66067609118</v>
      </c>
      <c r="N29" s="2">
        <v>0</v>
      </c>
      <c r="O29" t="s">
        <v>43</v>
      </c>
      <c r="P29">
        <v>3</v>
      </c>
      <c r="Q29" t="s">
        <v>44</v>
      </c>
      <c r="R29" t="s">
        <v>45</v>
      </c>
      <c r="S29" s="2">
        <v>-6.4447349783333197</v>
      </c>
      <c r="T29" s="2">
        <v>15.3134800604404</v>
      </c>
      <c r="U29" t="str">
        <f>_xlfn.IFS(Table13[[#This Row],[Risk_Score]]&gt;80,"High",AND(Table13[[#This Row],[Risk_Score]]&lt;=80,Table13[[#This Row],[Risk_Score]]&gt;45),"Normal",Table13[[#This Row],[Risk_Score]]&lt;=45,"Low")</f>
        <v>Low</v>
      </c>
      <c r="V29" s="7">
        <f t="shared" si="0"/>
        <v>3653.66067609118</v>
      </c>
    </row>
    <row r="30" spans="1:22">
      <c r="A30" t="s">
        <v>183</v>
      </c>
      <c r="B30" t="s">
        <v>184</v>
      </c>
      <c r="C30" t="s">
        <v>48</v>
      </c>
      <c r="D30" s="2">
        <v>21143.0263342088</v>
      </c>
      <c r="E30" s="4">
        <v>45671</v>
      </c>
      <c r="F30" t="s">
        <v>185</v>
      </c>
      <c r="G30" t="s">
        <v>37</v>
      </c>
      <c r="H30" t="s">
        <v>38</v>
      </c>
      <c r="I30" t="s">
        <v>26</v>
      </c>
      <c r="J30" t="s">
        <v>87</v>
      </c>
      <c r="K30" t="s">
        <v>186</v>
      </c>
      <c r="L30" t="s">
        <v>120</v>
      </c>
      <c r="M30" s="2">
        <v>2701.3907779084898</v>
      </c>
      <c r="N30" s="2">
        <v>0</v>
      </c>
      <c r="O30" t="s">
        <v>43</v>
      </c>
      <c r="P30">
        <v>4</v>
      </c>
      <c r="Q30" t="s">
        <v>55</v>
      </c>
      <c r="R30" t="s">
        <v>45</v>
      </c>
      <c r="S30" s="2">
        <v>27.469813048516599</v>
      </c>
      <c r="T30" s="2">
        <v>29.767371559284602</v>
      </c>
      <c r="U30" t="str">
        <f>_xlfn.IFS(Table13[[#This Row],[Risk_Score]]&gt;80,"High",AND(Table13[[#This Row],[Risk_Score]]&lt;=80,Table13[[#This Row],[Risk_Score]]&gt;45),"Normal",Table13[[#This Row],[Risk_Score]]&lt;=45,"Low")</f>
        <v>Low</v>
      </c>
      <c r="V30" s="7">
        <f t="shared" si="0"/>
        <v>2701.3907779084898</v>
      </c>
    </row>
    <row r="31" spans="1:22">
      <c r="A31" t="s">
        <v>187</v>
      </c>
      <c r="B31" t="s">
        <v>188</v>
      </c>
      <c r="C31" t="s">
        <v>48</v>
      </c>
      <c r="D31" s="2">
        <v>36333.430119185199</v>
      </c>
      <c r="E31" s="4">
        <v>45671</v>
      </c>
      <c r="F31" t="s">
        <v>189</v>
      </c>
      <c r="G31" t="s">
        <v>24</v>
      </c>
      <c r="H31" t="s">
        <v>25</v>
      </c>
      <c r="I31" t="s">
        <v>51</v>
      </c>
      <c r="J31" t="s">
        <v>87</v>
      </c>
      <c r="K31" t="s">
        <v>190</v>
      </c>
      <c r="L31" t="s">
        <v>155</v>
      </c>
      <c r="M31" s="2">
        <v>3418.3733394956498</v>
      </c>
      <c r="N31" s="2">
        <v>0</v>
      </c>
      <c r="O31" t="s">
        <v>62</v>
      </c>
      <c r="P31">
        <v>4</v>
      </c>
      <c r="Q31" t="s">
        <v>44</v>
      </c>
      <c r="R31" t="s">
        <v>133</v>
      </c>
      <c r="S31" s="2">
        <v>-1.08082879041564</v>
      </c>
      <c r="T31" s="2">
        <v>94.399590671061105</v>
      </c>
      <c r="U31" t="str">
        <f>_xlfn.IFS(Table13[[#This Row],[Risk_Score]]&gt;80,"High",AND(Table13[[#This Row],[Risk_Score]]&lt;=80,Table13[[#This Row],[Risk_Score]]&gt;45),"Normal",Table13[[#This Row],[Risk_Score]]&lt;=45,"Low")</f>
        <v>High</v>
      </c>
      <c r="V31" s="7">
        <f t="shared" si="0"/>
        <v>3418.3733394956498</v>
      </c>
    </row>
    <row r="32" spans="1:22">
      <c r="A32" t="s">
        <v>191</v>
      </c>
      <c r="B32" t="s">
        <v>192</v>
      </c>
      <c r="C32" t="s">
        <v>35</v>
      </c>
      <c r="D32" s="2">
        <v>24958.442813630099</v>
      </c>
      <c r="E32" s="4">
        <v>45672</v>
      </c>
      <c r="F32" t="s">
        <v>193</v>
      </c>
      <c r="G32" t="s">
        <v>141</v>
      </c>
      <c r="H32" t="s">
        <v>1762</v>
      </c>
      <c r="I32" t="s">
        <v>26</v>
      </c>
      <c r="J32" t="s">
        <v>87</v>
      </c>
      <c r="K32" t="s">
        <v>194</v>
      </c>
      <c r="L32" t="s">
        <v>120</v>
      </c>
      <c r="M32" s="2">
        <v>4827.7877108013899</v>
      </c>
      <c r="N32" s="2">
        <v>0</v>
      </c>
      <c r="O32" t="s">
        <v>43</v>
      </c>
      <c r="P32">
        <v>0</v>
      </c>
      <c r="Q32" t="s">
        <v>31</v>
      </c>
      <c r="R32" t="s">
        <v>133</v>
      </c>
      <c r="S32" s="2">
        <v>-18.527368935195501</v>
      </c>
      <c r="T32" s="2">
        <v>91.444172948733794</v>
      </c>
      <c r="U32" t="str">
        <f>_xlfn.IFS(Table13[[#This Row],[Risk_Score]]&gt;80,"High",AND(Table13[[#This Row],[Risk_Score]]&lt;=80,Table13[[#This Row],[Risk_Score]]&gt;45),"Normal",Table13[[#This Row],[Risk_Score]]&lt;=45,"Low")</f>
        <v>High</v>
      </c>
      <c r="V32" s="7">
        <f t="shared" si="0"/>
        <v>4827.7877108013899</v>
      </c>
    </row>
    <row r="33" spans="1:22">
      <c r="A33" t="s">
        <v>195</v>
      </c>
      <c r="B33" t="s">
        <v>66</v>
      </c>
      <c r="C33" t="s">
        <v>35</v>
      </c>
      <c r="D33" s="2">
        <v>39046.735806549797</v>
      </c>
      <c r="E33" s="4">
        <v>45672</v>
      </c>
      <c r="F33" t="s">
        <v>196</v>
      </c>
      <c r="G33" t="s">
        <v>37</v>
      </c>
      <c r="H33" t="s">
        <v>1762</v>
      </c>
      <c r="I33" t="s">
        <v>26</v>
      </c>
      <c r="J33" t="s">
        <v>60</v>
      </c>
      <c r="K33" t="s">
        <v>197</v>
      </c>
      <c r="L33" t="s">
        <v>42</v>
      </c>
      <c r="M33" s="2">
        <v>3808.5887329935199</v>
      </c>
      <c r="N33" s="2">
        <v>130.02402012621701</v>
      </c>
      <c r="O33" t="s">
        <v>62</v>
      </c>
      <c r="P33">
        <v>1</v>
      </c>
      <c r="Q33" t="s">
        <v>55</v>
      </c>
      <c r="R33" t="s">
        <v>32</v>
      </c>
      <c r="S33" s="2">
        <v>3.59962028781348</v>
      </c>
      <c r="T33" s="2">
        <v>70.778397836248203</v>
      </c>
      <c r="U33" t="str">
        <f>_xlfn.IFS(Table13[[#This Row],[Risk_Score]]&gt;80,"High",AND(Table13[[#This Row],[Risk_Score]]&lt;=80,Table13[[#This Row],[Risk_Score]]&gt;45),"Normal",Table13[[#This Row],[Risk_Score]]&lt;=45,"Low")</f>
        <v>Normal</v>
      </c>
      <c r="V33" s="7">
        <f t="shared" si="0"/>
        <v>3678.5647128672999</v>
      </c>
    </row>
    <row r="34" spans="1:22">
      <c r="A34" t="s">
        <v>198</v>
      </c>
      <c r="B34" t="s">
        <v>199</v>
      </c>
      <c r="C34" t="s">
        <v>35</v>
      </c>
      <c r="D34" s="2">
        <v>8359.4734673277599</v>
      </c>
      <c r="E34" s="4">
        <v>45672</v>
      </c>
      <c r="F34" t="s">
        <v>200</v>
      </c>
      <c r="G34" t="s">
        <v>1763</v>
      </c>
      <c r="H34" t="s">
        <v>1762</v>
      </c>
      <c r="I34" t="s">
        <v>75</v>
      </c>
      <c r="J34" t="s">
        <v>60</v>
      </c>
      <c r="K34" t="s">
        <v>201</v>
      </c>
      <c r="L34" t="s">
        <v>81</v>
      </c>
      <c r="M34" s="2">
        <v>2414.8235256777002</v>
      </c>
      <c r="N34" s="2">
        <v>0</v>
      </c>
      <c r="O34" t="s">
        <v>62</v>
      </c>
      <c r="P34">
        <v>2</v>
      </c>
      <c r="Q34" t="s">
        <v>95</v>
      </c>
      <c r="R34" t="s">
        <v>32</v>
      </c>
      <c r="S34" s="2">
        <v>21.338619848696801</v>
      </c>
      <c r="T34" s="2">
        <v>43.005534519127401</v>
      </c>
      <c r="U34" t="str">
        <f>_xlfn.IFS(Table13[[#This Row],[Risk_Score]]&gt;80,"High",AND(Table13[[#This Row],[Risk_Score]]&lt;=80,Table13[[#This Row],[Risk_Score]]&gt;45),"Normal",Table13[[#This Row],[Risk_Score]]&lt;=45,"Low")</f>
        <v>Low</v>
      </c>
      <c r="V34" s="7">
        <f t="shared" si="0"/>
        <v>2414.8235256777002</v>
      </c>
    </row>
    <row r="35" spans="1:22">
      <c r="A35" t="s">
        <v>202</v>
      </c>
      <c r="B35" t="s">
        <v>203</v>
      </c>
      <c r="C35" t="s">
        <v>35</v>
      </c>
      <c r="D35" s="2">
        <v>38902.353958387801</v>
      </c>
      <c r="E35" s="4">
        <v>45673</v>
      </c>
      <c r="F35" t="s">
        <v>204</v>
      </c>
      <c r="G35" t="s">
        <v>141</v>
      </c>
      <c r="H35" t="s">
        <v>1762</v>
      </c>
      <c r="I35" t="s">
        <v>26</v>
      </c>
      <c r="J35" t="s">
        <v>60</v>
      </c>
      <c r="K35" t="s">
        <v>205</v>
      </c>
      <c r="L35" t="s">
        <v>155</v>
      </c>
      <c r="M35" s="2">
        <v>4089.5912595995901</v>
      </c>
      <c r="N35" s="2">
        <v>0</v>
      </c>
      <c r="O35" t="s">
        <v>43</v>
      </c>
      <c r="P35">
        <v>2</v>
      </c>
      <c r="Q35" t="s">
        <v>55</v>
      </c>
      <c r="R35" t="s">
        <v>45</v>
      </c>
      <c r="S35" s="2">
        <v>28.377698097122501</v>
      </c>
      <c r="T35" s="2">
        <v>70.671857704456002</v>
      </c>
      <c r="U35" t="str">
        <f>_xlfn.IFS(Table13[[#This Row],[Risk_Score]]&gt;80,"High",AND(Table13[[#This Row],[Risk_Score]]&lt;=80,Table13[[#This Row],[Risk_Score]]&gt;45),"Normal",Table13[[#This Row],[Risk_Score]]&lt;=45,"Low")</f>
        <v>Normal</v>
      </c>
      <c r="V35" s="7">
        <f t="shared" si="0"/>
        <v>4089.5912595995901</v>
      </c>
    </row>
    <row r="36" spans="1:22">
      <c r="A36" t="s">
        <v>206</v>
      </c>
      <c r="B36" t="s">
        <v>207</v>
      </c>
      <c r="C36" t="s">
        <v>35</v>
      </c>
      <c r="D36" s="2">
        <v>48401.890895447199</v>
      </c>
      <c r="E36" s="4">
        <v>45673</v>
      </c>
      <c r="F36" t="s">
        <v>208</v>
      </c>
      <c r="G36" t="s">
        <v>172</v>
      </c>
      <c r="H36" t="s">
        <v>38</v>
      </c>
      <c r="I36" t="s">
        <v>99</v>
      </c>
      <c r="J36" t="s">
        <v>87</v>
      </c>
      <c r="K36" t="s">
        <v>209</v>
      </c>
      <c r="L36" t="s">
        <v>155</v>
      </c>
      <c r="M36" s="2">
        <v>778.77401833205897</v>
      </c>
      <c r="N36" s="2">
        <v>0</v>
      </c>
      <c r="O36" t="s">
        <v>43</v>
      </c>
      <c r="P36">
        <v>2</v>
      </c>
      <c r="Q36" t="s">
        <v>55</v>
      </c>
      <c r="R36" t="s">
        <v>32</v>
      </c>
      <c r="S36" s="2">
        <v>28.1664881479354</v>
      </c>
      <c r="T36" s="2">
        <v>80.574689217811994</v>
      </c>
      <c r="U36" t="str">
        <f>_xlfn.IFS(Table13[[#This Row],[Risk_Score]]&gt;80,"High",AND(Table13[[#This Row],[Risk_Score]]&lt;=80,Table13[[#This Row],[Risk_Score]]&gt;45),"Normal",Table13[[#This Row],[Risk_Score]]&lt;=45,"Low")</f>
        <v>High</v>
      </c>
      <c r="V36" s="7">
        <f t="shared" si="0"/>
        <v>778.77401833205897</v>
      </c>
    </row>
    <row r="37" spans="1:22">
      <c r="A37" t="s">
        <v>210</v>
      </c>
      <c r="B37" t="s">
        <v>211</v>
      </c>
      <c r="C37" t="s">
        <v>22</v>
      </c>
      <c r="D37" s="2">
        <v>35378.325016048599</v>
      </c>
      <c r="E37" s="4">
        <v>45674</v>
      </c>
      <c r="F37" t="s">
        <v>212</v>
      </c>
      <c r="G37" t="s">
        <v>59</v>
      </c>
      <c r="H37" t="s">
        <v>38</v>
      </c>
      <c r="I37" t="s">
        <v>51</v>
      </c>
      <c r="J37" t="s">
        <v>60</v>
      </c>
      <c r="K37" t="s">
        <v>213</v>
      </c>
      <c r="L37" t="s">
        <v>81</v>
      </c>
      <c r="M37" s="2">
        <v>3816.38558947397</v>
      </c>
      <c r="N37" s="2">
        <v>0</v>
      </c>
      <c r="O37" t="s">
        <v>62</v>
      </c>
      <c r="P37">
        <v>1</v>
      </c>
      <c r="Q37" t="s">
        <v>55</v>
      </c>
      <c r="R37" t="s">
        <v>133</v>
      </c>
      <c r="S37" s="2">
        <v>-22.804688464372202</v>
      </c>
      <c r="T37" s="2">
        <v>65.328954090136307</v>
      </c>
      <c r="U37" t="str">
        <f>_xlfn.IFS(Table13[[#This Row],[Risk_Score]]&gt;80,"High",AND(Table13[[#This Row],[Risk_Score]]&lt;=80,Table13[[#This Row],[Risk_Score]]&gt;45),"Normal",Table13[[#This Row],[Risk_Score]]&lt;=45,"Low")</f>
        <v>Normal</v>
      </c>
      <c r="V37" s="7">
        <f t="shared" si="0"/>
        <v>3816.38558947397</v>
      </c>
    </row>
    <row r="38" spans="1:22">
      <c r="A38" t="s">
        <v>214</v>
      </c>
      <c r="B38" t="s">
        <v>215</v>
      </c>
      <c r="C38" t="s">
        <v>35</v>
      </c>
      <c r="D38" s="2">
        <v>22652.2352048221</v>
      </c>
      <c r="E38" s="4">
        <v>45674</v>
      </c>
      <c r="F38" t="s">
        <v>216</v>
      </c>
      <c r="G38" t="s">
        <v>92</v>
      </c>
      <c r="H38" t="s">
        <v>25</v>
      </c>
      <c r="I38" t="s">
        <v>99</v>
      </c>
      <c r="J38" t="s">
        <v>60</v>
      </c>
      <c r="K38" t="s">
        <v>217</v>
      </c>
      <c r="L38" t="s">
        <v>42</v>
      </c>
      <c r="M38" s="2">
        <v>728.25350467978706</v>
      </c>
      <c r="N38" s="2">
        <v>0</v>
      </c>
      <c r="O38" t="s">
        <v>62</v>
      </c>
      <c r="P38">
        <v>3</v>
      </c>
      <c r="Q38" t="s">
        <v>31</v>
      </c>
      <c r="R38" t="s">
        <v>32</v>
      </c>
      <c r="S38" s="2">
        <v>8.5665930035918993</v>
      </c>
      <c r="T38" s="2">
        <v>93.395133858271805</v>
      </c>
      <c r="U38" t="str">
        <f>_xlfn.IFS(Table13[[#This Row],[Risk_Score]]&gt;80,"High",AND(Table13[[#This Row],[Risk_Score]]&lt;=80,Table13[[#This Row],[Risk_Score]]&gt;45),"Normal",Table13[[#This Row],[Risk_Score]]&lt;=45,"Low")</f>
        <v>High</v>
      </c>
      <c r="V38" s="7">
        <f t="shared" si="0"/>
        <v>728.25350467978706</v>
      </c>
    </row>
    <row r="39" spans="1:22">
      <c r="A39" t="s">
        <v>218</v>
      </c>
      <c r="B39" t="s">
        <v>219</v>
      </c>
      <c r="C39" t="s">
        <v>22</v>
      </c>
      <c r="D39" s="2">
        <v>39521.676583713597</v>
      </c>
      <c r="E39" s="4">
        <v>45675</v>
      </c>
      <c r="F39" t="s">
        <v>220</v>
      </c>
      <c r="G39" t="s">
        <v>24</v>
      </c>
      <c r="H39" t="s">
        <v>38</v>
      </c>
      <c r="I39" t="s">
        <v>99</v>
      </c>
      <c r="J39" t="s">
        <v>87</v>
      </c>
      <c r="K39" t="s">
        <v>221</v>
      </c>
      <c r="L39" t="s">
        <v>81</v>
      </c>
      <c r="M39" s="2">
        <v>664.33147018319801</v>
      </c>
      <c r="N39" s="2">
        <v>0</v>
      </c>
      <c r="O39" t="s">
        <v>43</v>
      </c>
      <c r="P39">
        <v>4</v>
      </c>
      <c r="Q39" t="s">
        <v>31</v>
      </c>
      <c r="R39" t="s">
        <v>32</v>
      </c>
      <c r="S39" s="2">
        <v>1.8417113858112799</v>
      </c>
      <c r="T39" s="2">
        <v>65.248472840615804</v>
      </c>
      <c r="U39" t="str">
        <f>_xlfn.IFS(Table13[[#This Row],[Risk_Score]]&gt;80,"High",AND(Table13[[#This Row],[Risk_Score]]&lt;=80,Table13[[#This Row],[Risk_Score]]&gt;45),"Normal",Table13[[#This Row],[Risk_Score]]&lt;=45,"Low")</f>
        <v>Normal</v>
      </c>
      <c r="V39" s="7">
        <f t="shared" si="0"/>
        <v>664.33147018319801</v>
      </c>
    </row>
    <row r="40" spans="1:22">
      <c r="A40" t="s">
        <v>222</v>
      </c>
      <c r="B40" t="s">
        <v>223</v>
      </c>
      <c r="C40" t="s">
        <v>35</v>
      </c>
      <c r="D40" s="2">
        <v>42092.330049471202</v>
      </c>
      <c r="E40" s="4">
        <v>45677</v>
      </c>
      <c r="F40" t="s">
        <v>224</v>
      </c>
      <c r="G40" t="s">
        <v>163</v>
      </c>
      <c r="H40" t="s">
        <v>25</v>
      </c>
      <c r="I40" t="s">
        <v>99</v>
      </c>
      <c r="J40" t="s">
        <v>60</v>
      </c>
      <c r="K40" t="s">
        <v>225</v>
      </c>
      <c r="L40" t="s">
        <v>155</v>
      </c>
      <c r="M40" s="2">
        <v>4190.8279092664698</v>
      </c>
      <c r="N40" s="2">
        <v>0</v>
      </c>
      <c r="O40" t="s">
        <v>43</v>
      </c>
      <c r="P40">
        <v>4</v>
      </c>
      <c r="Q40" t="s">
        <v>63</v>
      </c>
      <c r="R40" t="s">
        <v>133</v>
      </c>
      <c r="S40" s="2">
        <v>-21.082007065326898</v>
      </c>
      <c r="T40" s="2">
        <v>79.389565519451693</v>
      </c>
      <c r="U40" t="str">
        <f>_xlfn.IFS(Table13[[#This Row],[Risk_Score]]&gt;80,"High",AND(Table13[[#This Row],[Risk_Score]]&lt;=80,Table13[[#This Row],[Risk_Score]]&gt;45),"Normal",Table13[[#This Row],[Risk_Score]]&lt;=45,"Low")</f>
        <v>Normal</v>
      </c>
      <c r="V40" s="7">
        <f t="shared" si="0"/>
        <v>4190.8279092664698</v>
      </c>
    </row>
    <row r="41" spans="1:22">
      <c r="A41" t="s">
        <v>226</v>
      </c>
      <c r="B41" t="s">
        <v>227</v>
      </c>
      <c r="C41" t="s">
        <v>48</v>
      </c>
      <c r="D41" s="2">
        <v>42237.5895644181</v>
      </c>
      <c r="E41" s="4">
        <v>45677</v>
      </c>
      <c r="F41" t="s">
        <v>228</v>
      </c>
      <c r="G41" t="s">
        <v>37</v>
      </c>
      <c r="H41" t="s">
        <v>1762</v>
      </c>
      <c r="I41" t="s">
        <v>99</v>
      </c>
      <c r="J41" t="s">
        <v>60</v>
      </c>
      <c r="K41" t="s">
        <v>229</v>
      </c>
      <c r="L41" t="s">
        <v>42</v>
      </c>
      <c r="M41" s="2">
        <v>739.27188074084199</v>
      </c>
      <c r="N41" s="2">
        <v>0</v>
      </c>
      <c r="O41" t="s">
        <v>62</v>
      </c>
      <c r="P41">
        <v>0</v>
      </c>
      <c r="Q41" t="s">
        <v>31</v>
      </c>
      <c r="R41" t="s">
        <v>32</v>
      </c>
      <c r="S41" s="2">
        <v>-21.30404837343</v>
      </c>
      <c r="T41" s="2">
        <v>62.081880350589202</v>
      </c>
      <c r="U41" t="str">
        <f>_xlfn.IFS(Table13[[#This Row],[Risk_Score]]&gt;80,"High",AND(Table13[[#This Row],[Risk_Score]]&lt;=80,Table13[[#This Row],[Risk_Score]]&gt;45),"Normal",Table13[[#This Row],[Risk_Score]]&lt;=45,"Low")</f>
        <v>Normal</v>
      </c>
      <c r="V41" s="7">
        <f t="shared" si="0"/>
        <v>739.27188074084199</v>
      </c>
    </row>
    <row r="42" spans="1:22">
      <c r="A42" t="s">
        <v>230</v>
      </c>
      <c r="B42" t="s">
        <v>130</v>
      </c>
      <c r="C42" t="s">
        <v>48</v>
      </c>
      <c r="D42" s="2">
        <v>26112.903303937099</v>
      </c>
      <c r="E42" s="4">
        <v>45678</v>
      </c>
      <c r="F42" t="s">
        <v>231</v>
      </c>
      <c r="G42" t="s">
        <v>141</v>
      </c>
      <c r="H42" t="s">
        <v>25</v>
      </c>
      <c r="I42" t="s">
        <v>51</v>
      </c>
      <c r="J42" t="s">
        <v>87</v>
      </c>
      <c r="K42" t="s">
        <v>232</v>
      </c>
      <c r="L42" t="s">
        <v>81</v>
      </c>
      <c r="M42" s="2">
        <v>3619.60516891628</v>
      </c>
      <c r="N42" s="2">
        <v>0</v>
      </c>
      <c r="O42" t="s">
        <v>62</v>
      </c>
      <c r="P42">
        <v>2</v>
      </c>
      <c r="Q42" t="s">
        <v>55</v>
      </c>
      <c r="R42" t="s">
        <v>133</v>
      </c>
      <c r="S42" s="2">
        <v>10.5386438318933</v>
      </c>
      <c r="T42" s="2">
        <v>35.836253565782798</v>
      </c>
      <c r="U42" t="str">
        <f>_xlfn.IFS(Table13[[#This Row],[Risk_Score]]&gt;80,"High",AND(Table13[[#This Row],[Risk_Score]]&lt;=80,Table13[[#This Row],[Risk_Score]]&gt;45),"Normal",Table13[[#This Row],[Risk_Score]]&lt;=45,"Low")</f>
        <v>Low</v>
      </c>
      <c r="V42" s="7">
        <f t="shared" si="0"/>
        <v>3619.60516891628</v>
      </c>
    </row>
    <row r="43" spans="1:22">
      <c r="A43" t="s">
        <v>233</v>
      </c>
      <c r="B43" t="s">
        <v>234</v>
      </c>
      <c r="C43" t="s">
        <v>35</v>
      </c>
      <c r="D43" s="2">
        <v>18784.3249490491</v>
      </c>
      <c r="E43" s="4">
        <v>45678</v>
      </c>
      <c r="F43" t="s">
        <v>235</v>
      </c>
      <c r="G43" t="s">
        <v>37</v>
      </c>
      <c r="H43" t="s">
        <v>1762</v>
      </c>
      <c r="I43" t="s">
        <v>75</v>
      </c>
      <c r="J43" t="s">
        <v>87</v>
      </c>
      <c r="K43" t="s">
        <v>236</v>
      </c>
      <c r="L43" t="s">
        <v>42</v>
      </c>
      <c r="M43" s="2">
        <v>3513.0028384664702</v>
      </c>
      <c r="N43" s="2">
        <v>0</v>
      </c>
      <c r="O43" t="s">
        <v>62</v>
      </c>
      <c r="P43">
        <v>3</v>
      </c>
      <c r="Q43" t="s">
        <v>44</v>
      </c>
      <c r="R43" t="s">
        <v>45</v>
      </c>
      <c r="S43" s="2">
        <v>12.3594241777196</v>
      </c>
      <c r="T43" s="2">
        <v>88.190328476345996</v>
      </c>
      <c r="U43" t="str">
        <f>_xlfn.IFS(Table13[[#This Row],[Risk_Score]]&gt;80,"High",AND(Table13[[#This Row],[Risk_Score]]&lt;=80,Table13[[#This Row],[Risk_Score]]&gt;45),"Normal",Table13[[#This Row],[Risk_Score]]&lt;=45,"Low")</f>
        <v>High</v>
      </c>
      <c r="V43" s="7">
        <f t="shared" si="0"/>
        <v>3513.0028384664702</v>
      </c>
    </row>
    <row r="44" spans="1:22">
      <c r="A44" t="s">
        <v>237</v>
      </c>
      <c r="B44" t="s">
        <v>207</v>
      </c>
      <c r="C44" t="s">
        <v>35</v>
      </c>
      <c r="D44" s="2">
        <v>5200.4119448374604</v>
      </c>
      <c r="E44" s="4">
        <v>45679</v>
      </c>
      <c r="F44" t="s">
        <v>238</v>
      </c>
      <c r="G44" t="s">
        <v>141</v>
      </c>
      <c r="H44" t="s">
        <v>25</v>
      </c>
      <c r="I44" t="s">
        <v>99</v>
      </c>
      <c r="J44" t="s">
        <v>87</v>
      </c>
      <c r="K44" t="s">
        <v>239</v>
      </c>
      <c r="L44" t="s">
        <v>53</v>
      </c>
      <c r="M44" s="2">
        <v>970.50946240921803</v>
      </c>
      <c r="N44" s="2">
        <v>0</v>
      </c>
      <c r="O44" t="s">
        <v>62</v>
      </c>
      <c r="P44">
        <v>3</v>
      </c>
      <c r="Q44" t="s">
        <v>63</v>
      </c>
      <c r="R44" t="s">
        <v>45</v>
      </c>
      <c r="S44" s="2">
        <v>-20.2697563717687</v>
      </c>
      <c r="T44" s="2">
        <v>83.655239116961397</v>
      </c>
      <c r="U44" t="str">
        <f>_xlfn.IFS(Table13[[#This Row],[Risk_Score]]&gt;80,"High",AND(Table13[[#This Row],[Risk_Score]]&lt;=80,Table13[[#This Row],[Risk_Score]]&gt;45),"Normal",Table13[[#This Row],[Risk_Score]]&lt;=45,"Low")</f>
        <v>High</v>
      </c>
      <c r="V44" s="7">
        <f t="shared" si="0"/>
        <v>970.50946240921803</v>
      </c>
    </row>
    <row r="45" spans="1:22">
      <c r="A45" t="s">
        <v>240</v>
      </c>
      <c r="B45" t="s">
        <v>241</v>
      </c>
      <c r="C45" t="s">
        <v>48</v>
      </c>
      <c r="D45" s="2">
        <v>25671.637028507899</v>
      </c>
      <c r="E45" s="4">
        <v>45679</v>
      </c>
      <c r="F45" t="s">
        <v>242</v>
      </c>
      <c r="G45" t="s">
        <v>24</v>
      </c>
      <c r="H45" t="s">
        <v>38</v>
      </c>
      <c r="I45" t="s">
        <v>51</v>
      </c>
      <c r="J45" t="s">
        <v>60</v>
      </c>
      <c r="K45" t="s">
        <v>243</v>
      </c>
      <c r="L45" t="s">
        <v>53</v>
      </c>
      <c r="M45" s="2">
        <v>2680.2163171758398</v>
      </c>
      <c r="N45" s="2">
        <v>0</v>
      </c>
      <c r="O45" t="s">
        <v>43</v>
      </c>
      <c r="P45">
        <v>1</v>
      </c>
      <c r="Q45" t="s">
        <v>1763</v>
      </c>
      <c r="R45" t="s">
        <v>32</v>
      </c>
      <c r="S45" s="2">
        <v>13.528682040929199</v>
      </c>
      <c r="T45" s="2">
        <v>75.378060108641506</v>
      </c>
      <c r="U45" t="str">
        <f>_xlfn.IFS(Table13[[#This Row],[Risk_Score]]&gt;80,"High",AND(Table13[[#This Row],[Risk_Score]]&lt;=80,Table13[[#This Row],[Risk_Score]]&gt;45),"Normal",Table13[[#This Row],[Risk_Score]]&lt;=45,"Low")</f>
        <v>Normal</v>
      </c>
      <c r="V45" s="7">
        <f t="shared" si="0"/>
        <v>2680.2163171758398</v>
      </c>
    </row>
    <row r="46" spans="1:22">
      <c r="A46" t="s">
        <v>244</v>
      </c>
      <c r="B46" t="s">
        <v>245</v>
      </c>
      <c r="C46" t="s">
        <v>48</v>
      </c>
      <c r="D46" s="2">
        <v>10306.7751991562</v>
      </c>
      <c r="E46" s="4">
        <v>45679</v>
      </c>
      <c r="F46" t="s">
        <v>246</v>
      </c>
      <c r="G46" t="s">
        <v>141</v>
      </c>
      <c r="H46" t="s">
        <v>38</v>
      </c>
      <c r="I46" t="s">
        <v>99</v>
      </c>
      <c r="J46" t="s">
        <v>87</v>
      </c>
      <c r="K46" t="s">
        <v>247</v>
      </c>
      <c r="L46" t="s">
        <v>29</v>
      </c>
      <c r="M46" s="2">
        <v>637.370041648967</v>
      </c>
      <c r="N46" s="2">
        <v>0</v>
      </c>
      <c r="O46" t="s">
        <v>54</v>
      </c>
      <c r="P46">
        <v>2</v>
      </c>
      <c r="Q46" t="s">
        <v>95</v>
      </c>
      <c r="R46" t="s">
        <v>32</v>
      </c>
      <c r="S46" s="2">
        <v>-16.045915544590301</v>
      </c>
      <c r="T46" s="2">
        <v>95.323717878123304</v>
      </c>
      <c r="U46" t="str">
        <f>_xlfn.IFS(Table13[[#This Row],[Risk_Score]]&gt;80,"High",AND(Table13[[#This Row],[Risk_Score]]&lt;=80,Table13[[#This Row],[Risk_Score]]&gt;45),"Normal",Table13[[#This Row],[Risk_Score]]&lt;=45,"Low")</f>
        <v>High</v>
      </c>
      <c r="V46" s="7">
        <f t="shared" si="0"/>
        <v>637.370041648967</v>
      </c>
    </row>
    <row r="47" spans="1:22">
      <c r="A47" t="s">
        <v>248</v>
      </c>
      <c r="B47" t="s">
        <v>249</v>
      </c>
      <c r="C47" t="s">
        <v>48</v>
      </c>
      <c r="D47" s="2">
        <v>49547.380875223796</v>
      </c>
      <c r="E47" s="4">
        <v>45680</v>
      </c>
      <c r="F47" t="s">
        <v>250</v>
      </c>
      <c r="G47" t="s">
        <v>172</v>
      </c>
      <c r="H47" t="s">
        <v>1762</v>
      </c>
      <c r="I47" t="s">
        <v>75</v>
      </c>
      <c r="J47" t="s">
        <v>87</v>
      </c>
      <c r="K47" t="s">
        <v>251</v>
      </c>
      <c r="L47" t="s">
        <v>53</v>
      </c>
      <c r="M47" s="2">
        <v>1637.5863960767899</v>
      </c>
      <c r="N47" s="2">
        <v>0</v>
      </c>
      <c r="O47" t="s">
        <v>62</v>
      </c>
      <c r="P47">
        <v>3</v>
      </c>
      <c r="Q47" t="s">
        <v>55</v>
      </c>
      <c r="R47" t="s">
        <v>133</v>
      </c>
      <c r="S47" s="2">
        <v>9.5921920097423392</v>
      </c>
      <c r="T47" s="2">
        <v>74.951641515678105</v>
      </c>
      <c r="U47" t="str">
        <f>_xlfn.IFS(Table13[[#This Row],[Risk_Score]]&gt;80,"High",AND(Table13[[#This Row],[Risk_Score]]&lt;=80,Table13[[#This Row],[Risk_Score]]&gt;45),"Normal",Table13[[#This Row],[Risk_Score]]&lt;=45,"Low")</f>
        <v>Normal</v>
      </c>
      <c r="V47" s="7">
        <f t="shared" si="0"/>
        <v>1637.5863960767899</v>
      </c>
    </row>
    <row r="48" spans="1:22">
      <c r="A48" t="s">
        <v>252</v>
      </c>
      <c r="B48" t="s">
        <v>253</v>
      </c>
      <c r="C48" t="s">
        <v>35</v>
      </c>
      <c r="D48" s="2">
        <v>8359.1145396558895</v>
      </c>
      <c r="E48" s="4">
        <v>45681</v>
      </c>
      <c r="F48" t="s">
        <v>254</v>
      </c>
      <c r="G48" t="s">
        <v>141</v>
      </c>
      <c r="H48" t="s">
        <v>25</v>
      </c>
      <c r="I48" t="s">
        <v>26</v>
      </c>
      <c r="J48" t="s">
        <v>87</v>
      </c>
      <c r="K48" t="s">
        <v>255</v>
      </c>
      <c r="L48" t="s">
        <v>120</v>
      </c>
      <c r="M48" s="2">
        <v>4668.1352963647296</v>
      </c>
      <c r="N48" s="2">
        <v>128.73960824623501</v>
      </c>
      <c r="O48" t="s">
        <v>43</v>
      </c>
      <c r="P48">
        <v>2</v>
      </c>
      <c r="Q48" t="s">
        <v>31</v>
      </c>
      <c r="R48" t="s">
        <v>45</v>
      </c>
      <c r="S48" s="2">
        <v>-25.194629419730301</v>
      </c>
      <c r="T48" s="2">
        <v>82.553082334674897</v>
      </c>
      <c r="U48" t="str">
        <f>_xlfn.IFS(Table13[[#This Row],[Risk_Score]]&gt;80,"High",AND(Table13[[#This Row],[Risk_Score]]&lt;=80,Table13[[#This Row],[Risk_Score]]&gt;45),"Normal",Table13[[#This Row],[Risk_Score]]&lt;=45,"Low")</f>
        <v>High</v>
      </c>
      <c r="V48" s="7">
        <f t="shared" si="0"/>
        <v>4539.3956881184904</v>
      </c>
    </row>
    <row r="49" spans="1:22">
      <c r="A49" t="s">
        <v>256</v>
      </c>
      <c r="B49" t="s">
        <v>257</v>
      </c>
      <c r="C49" t="s">
        <v>48</v>
      </c>
      <c r="D49" s="2">
        <v>6836.5637433182301</v>
      </c>
      <c r="E49" s="4">
        <v>45681</v>
      </c>
      <c r="F49" t="s">
        <v>258</v>
      </c>
      <c r="G49" t="s">
        <v>59</v>
      </c>
      <c r="H49" t="s">
        <v>25</v>
      </c>
      <c r="I49" t="s">
        <v>26</v>
      </c>
      <c r="J49" t="s">
        <v>87</v>
      </c>
      <c r="K49" t="s">
        <v>259</v>
      </c>
      <c r="L49" t="s">
        <v>42</v>
      </c>
      <c r="M49" s="2">
        <v>639.57735258974503</v>
      </c>
      <c r="N49" s="2">
        <v>445.416074144817</v>
      </c>
      <c r="O49" t="s">
        <v>62</v>
      </c>
      <c r="P49">
        <v>4</v>
      </c>
      <c r="Q49" t="s">
        <v>95</v>
      </c>
      <c r="R49" t="s">
        <v>32</v>
      </c>
      <c r="S49" s="2">
        <v>20.757915365912002</v>
      </c>
      <c r="T49" s="2">
        <v>77.655747178522006</v>
      </c>
      <c r="U49" t="str">
        <f>_xlfn.IFS(Table13[[#This Row],[Risk_Score]]&gt;80,"High",AND(Table13[[#This Row],[Risk_Score]]&lt;=80,Table13[[#This Row],[Risk_Score]]&gt;45),"Normal",Table13[[#This Row],[Risk_Score]]&lt;=45,"Low")</f>
        <v>Normal</v>
      </c>
      <c r="V49" s="7">
        <f t="shared" si="0"/>
        <v>194.161278444928</v>
      </c>
    </row>
    <row r="50" spans="1:22">
      <c r="A50" t="s">
        <v>260</v>
      </c>
      <c r="B50" t="s">
        <v>261</v>
      </c>
      <c r="C50" t="s">
        <v>35</v>
      </c>
      <c r="D50" s="2">
        <v>16584.389215917599</v>
      </c>
      <c r="E50" s="4">
        <v>45682</v>
      </c>
      <c r="F50" t="s">
        <v>262</v>
      </c>
      <c r="G50" t="s">
        <v>181</v>
      </c>
      <c r="H50" t="s">
        <v>1762</v>
      </c>
      <c r="I50" t="s">
        <v>75</v>
      </c>
      <c r="J50" t="s">
        <v>87</v>
      </c>
      <c r="K50" t="s">
        <v>263</v>
      </c>
      <c r="L50" t="s">
        <v>42</v>
      </c>
      <c r="M50" s="2">
        <v>0</v>
      </c>
      <c r="N50" s="2">
        <v>457.549227245015</v>
      </c>
      <c r="O50" t="s">
        <v>43</v>
      </c>
      <c r="P50">
        <v>4</v>
      </c>
      <c r="Q50" t="s">
        <v>63</v>
      </c>
      <c r="R50" t="s">
        <v>45</v>
      </c>
      <c r="S50" s="2">
        <v>-23.9301713089475</v>
      </c>
      <c r="T50" s="2">
        <v>14.214085359791801</v>
      </c>
      <c r="U50" t="str">
        <f>_xlfn.IFS(Table13[[#This Row],[Risk_Score]]&gt;80,"High",AND(Table13[[#This Row],[Risk_Score]]&lt;=80,Table13[[#This Row],[Risk_Score]]&gt;45),"Normal",Table13[[#This Row],[Risk_Score]]&lt;=45,"Low")</f>
        <v>Low</v>
      </c>
      <c r="V50" s="7">
        <f t="shared" si="0"/>
        <v>0</v>
      </c>
    </row>
    <row r="51" spans="1:22">
      <c r="A51" t="s">
        <v>264</v>
      </c>
      <c r="B51" t="s">
        <v>265</v>
      </c>
      <c r="C51" t="s">
        <v>22</v>
      </c>
      <c r="D51" s="2">
        <v>34190.8744366295</v>
      </c>
      <c r="E51" s="4">
        <v>45682</v>
      </c>
      <c r="F51" t="s">
        <v>266</v>
      </c>
      <c r="G51" t="s">
        <v>59</v>
      </c>
      <c r="H51" t="s">
        <v>38</v>
      </c>
      <c r="I51" t="s">
        <v>99</v>
      </c>
      <c r="J51" t="s">
        <v>60</v>
      </c>
      <c r="K51" t="s">
        <v>267</v>
      </c>
      <c r="L51" t="s">
        <v>155</v>
      </c>
      <c r="M51" s="2">
        <v>2579.3051780730598</v>
      </c>
      <c r="N51" s="2">
        <v>486.28411782486802</v>
      </c>
      <c r="O51" t="s">
        <v>43</v>
      </c>
      <c r="P51">
        <v>3</v>
      </c>
      <c r="Q51" t="s">
        <v>1763</v>
      </c>
      <c r="R51" t="s">
        <v>133</v>
      </c>
      <c r="S51" s="2">
        <v>11.602914036891301</v>
      </c>
      <c r="T51" s="2">
        <v>91.329971160003396</v>
      </c>
      <c r="U51" t="str">
        <f>_xlfn.IFS(Table13[[#This Row],[Risk_Score]]&gt;80,"High",AND(Table13[[#This Row],[Risk_Score]]&lt;=80,Table13[[#This Row],[Risk_Score]]&gt;45),"Normal",Table13[[#This Row],[Risk_Score]]&lt;=45,"Low")</f>
        <v>High</v>
      </c>
      <c r="V51" s="7">
        <f t="shared" si="0"/>
        <v>2093.0210602481902</v>
      </c>
    </row>
    <row r="52" spans="1:22">
      <c r="A52" t="s">
        <v>268</v>
      </c>
      <c r="B52" t="s">
        <v>269</v>
      </c>
      <c r="C52" t="s">
        <v>35</v>
      </c>
      <c r="D52" s="2">
        <v>43845.408147697097</v>
      </c>
      <c r="E52" s="4">
        <v>45683</v>
      </c>
      <c r="F52" t="s">
        <v>270</v>
      </c>
      <c r="G52" t="s">
        <v>172</v>
      </c>
      <c r="H52" t="s">
        <v>1762</v>
      </c>
      <c r="I52" t="s">
        <v>99</v>
      </c>
      <c r="J52" t="s">
        <v>87</v>
      </c>
      <c r="K52" t="s">
        <v>271</v>
      </c>
      <c r="L52" t="s">
        <v>53</v>
      </c>
      <c r="M52" s="2">
        <v>3549.7257066493198</v>
      </c>
      <c r="N52" s="2">
        <v>0</v>
      </c>
      <c r="O52" t="s">
        <v>43</v>
      </c>
      <c r="P52">
        <v>0</v>
      </c>
      <c r="Q52" t="s">
        <v>44</v>
      </c>
      <c r="R52" t="s">
        <v>32</v>
      </c>
      <c r="S52" s="2">
        <v>25.4696569664432</v>
      </c>
      <c r="T52" s="2">
        <v>73.315302310658495</v>
      </c>
      <c r="U52" t="str">
        <f>_xlfn.IFS(Table13[[#This Row],[Risk_Score]]&gt;80,"High",AND(Table13[[#This Row],[Risk_Score]]&lt;=80,Table13[[#This Row],[Risk_Score]]&gt;45),"Normal",Table13[[#This Row],[Risk_Score]]&lt;=45,"Low")</f>
        <v>Normal</v>
      </c>
      <c r="V52" s="7">
        <f t="shared" si="0"/>
        <v>3549.7257066493198</v>
      </c>
    </row>
    <row r="53" spans="1:22">
      <c r="A53" t="s">
        <v>272</v>
      </c>
      <c r="B53" t="s">
        <v>273</v>
      </c>
      <c r="C53" t="s">
        <v>48</v>
      </c>
      <c r="D53" s="2">
        <v>29991.565302388601</v>
      </c>
      <c r="E53" s="4">
        <v>45683</v>
      </c>
      <c r="F53" t="s">
        <v>274</v>
      </c>
      <c r="G53" t="s">
        <v>92</v>
      </c>
      <c r="H53" t="s">
        <v>1762</v>
      </c>
      <c r="I53" t="s">
        <v>75</v>
      </c>
      <c r="J53" t="s">
        <v>87</v>
      </c>
      <c r="K53" t="s">
        <v>275</v>
      </c>
      <c r="L53" t="s">
        <v>155</v>
      </c>
      <c r="M53" s="2">
        <v>3784.95773371718</v>
      </c>
      <c r="N53" s="2">
        <v>0</v>
      </c>
      <c r="O53" t="s">
        <v>43</v>
      </c>
      <c r="P53">
        <v>1</v>
      </c>
      <c r="Q53" t="s">
        <v>1763</v>
      </c>
      <c r="R53" t="s">
        <v>32</v>
      </c>
      <c r="S53" s="2">
        <v>27.634112179406099</v>
      </c>
      <c r="T53" s="2">
        <v>47.1083729483925</v>
      </c>
      <c r="U53" t="str">
        <f>_xlfn.IFS(Table13[[#This Row],[Risk_Score]]&gt;80,"High",AND(Table13[[#This Row],[Risk_Score]]&lt;=80,Table13[[#This Row],[Risk_Score]]&gt;45),"Normal",Table13[[#This Row],[Risk_Score]]&lt;=45,"Low")</f>
        <v>Normal</v>
      </c>
      <c r="V53" s="7">
        <f t="shared" si="0"/>
        <v>3784.95773371718</v>
      </c>
    </row>
    <row r="54" spans="1:22">
      <c r="A54" t="s">
        <v>276</v>
      </c>
      <c r="B54" t="s">
        <v>277</v>
      </c>
      <c r="C54" t="s">
        <v>48</v>
      </c>
      <c r="D54" s="2">
        <v>45945.651060811302</v>
      </c>
      <c r="E54" s="4">
        <v>45684</v>
      </c>
      <c r="F54" t="s">
        <v>278</v>
      </c>
      <c r="G54" t="s">
        <v>181</v>
      </c>
      <c r="H54" t="s">
        <v>1762</v>
      </c>
      <c r="I54" t="s">
        <v>75</v>
      </c>
      <c r="J54" t="s">
        <v>60</v>
      </c>
      <c r="K54" t="s">
        <v>279</v>
      </c>
      <c r="L54" t="s">
        <v>29</v>
      </c>
      <c r="M54" s="2">
        <v>4756.5523665863402</v>
      </c>
      <c r="N54" s="2">
        <v>397.50576846423502</v>
      </c>
      <c r="O54" t="s">
        <v>43</v>
      </c>
      <c r="P54">
        <v>4</v>
      </c>
      <c r="Q54" t="s">
        <v>31</v>
      </c>
      <c r="R54" t="s">
        <v>32</v>
      </c>
      <c r="S54" s="2">
        <v>29.094885961014299</v>
      </c>
      <c r="T54" s="2">
        <v>51.230036091546701</v>
      </c>
      <c r="U54" t="str">
        <f>_xlfn.IFS(Table13[[#This Row],[Risk_Score]]&gt;80,"High",AND(Table13[[#This Row],[Risk_Score]]&lt;=80,Table13[[#This Row],[Risk_Score]]&gt;45),"Normal",Table13[[#This Row],[Risk_Score]]&lt;=45,"Low")</f>
        <v>Normal</v>
      </c>
      <c r="V54" s="7">
        <f t="shared" si="0"/>
        <v>4359.0465981221096</v>
      </c>
    </row>
    <row r="55" spans="1:22">
      <c r="A55" t="s">
        <v>280</v>
      </c>
      <c r="B55" t="s">
        <v>281</v>
      </c>
      <c r="C55" t="s">
        <v>85</v>
      </c>
      <c r="D55" s="2">
        <v>39410.715446853203</v>
      </c>
      <c r="E55" s="4">
        <v>45684</v>
      </c>
      <c r="F55" t="s">
        <v>282</v>
      </c>
      <c r="G55" t="s">
        <v>68</v>
      </c>
      <c r="H55" t="s">
        <v>38</v>
      </c>
      <c r="I55" t="s">
        <v>99</v>
      </c>
      <c r="J55" t="s">
        <v>60</v>
      </c>
      <c r="K55" t="s">
        <v>283</v>
      </c>
      <c r="L55" t="s">
        <v>29</v>
      </c>
      <c r="M55" s="2">
        <v>4624.1612947861304</v>
      </c>
      <c r="N55" s="2">
        <v>433.99979594754501</v>
      </c>
      <c r="O55" t="s">
        <v>62</v>
      </c>
      <c r="P55">
        <v>3</v>
      </c>
      <c r="Q55" t="s">
        <v>31</v>
      </c>
      <c r="R55" t="s">
        <v>45</v>
      </c>
      <c r="S55" s="2">
        <v>-8.2339720117514492</v>
      </c>
      <c r="T55" s="2">
        <v>43.573435684330803</v>
      </c>
      <c r="U55" t="str">
        <f>_xlfn.IFS(Table13[[#This Row],[Risk_Score]]&gt;80,"High",AND(Table13[[#This Row],[Risk_Score]]&lt;=80,Table13[[#This Row],[Risk_Score]]&gt;45),"Normal",Table13[[#This Row],[Risk_Score]]&lt;=45,"Low")</f>
        <v>Low</v>
      </c>
      <c r="V55" s="7">
        <f t="shared" si="0"/>
        <v>4190.16149883859</v>
      </c>
    </row>
    <row r="56" spans="1:22">
      <c r="A56" t="s">
        <v>284</v>
      </c>
      <c r="B56" t="s">
        <v>285</v>
      </c>
      <c r="C56" t="s">
        <v>85</v>
      </c>
      <c r="D56" s="2">
        <v>45930.890774471103</v>
      </c>
      <c r="E56" s="4">
        <v>45684</v>
      </c>
      <c r="F56" t="s">
        <v>286</v>
      </c>
      <c r="G56" t="s">
        <v>50</v>
      </c>
      <c r="H56" t="s">
        <v>1762</v>
      </c>
      <c r="I56" t="s">
        <v>99</v>
      </c>
      <c r="J56" t="s">
        <v>60</v>
      </c>
      <c r="K56" t="s">
        <v>287</v>
      </c>
      <c r="L56" t="s">
        <v>120</v>
      </c>
      <c r="M56" s="2">
        <v>2782.08498724931</v>
      </c>
      <c r="N56" s="2">
        <v>56.198513588006499</v>
      </c>
      <c r="O56" t="s">
        <v>54</v>
      </c>
      <c r="P56">
        <v>3</v>
      </c>
      <c r="Q56" t="s">
        <v>95</v>
      </c>
      <c r="R56" t="s">
        <v>32</v>
      </c>
      <c r="S56" s="2">
        <v>7.1361097658060304</v>
      </c>
      <c r="T56" s="2">
        <v>49.415760355180403</v>
      </c>
      <c r="U56" t="str">
        <f>_xlfn.IFS(Table13[[#This Row],[Risk_Score]]&gt;80,"High",AND(Table13[[#This Row],[Risk_Score]]&lt;=80,Table13[[#This Row],[Risk_Score]]&gt;45),"Normal",Table13[[#This Row],[Risk_Score]]&lt;=45,"Low")</f>
        <v>Normal</v>
      </c>
      <c r="V56" s="7">
        <f t="shared" si="0"/>
        <v>2725.8864736613</v>
      </c>
    </row>
    <row r="57" spans="1:22">
      <c r="A57" t="s">
        <v>288</v>
      </c>
      <c r="B57" t="s">
        <v>289</v>
      </c>
      <c r="C57" t="s">
        <v>35</v>
      </c>
      <c r="D57" s="2">
        <v>4641.0043434613799</v>
      </c>
      <c r="E57" s="4">
        <v>45686</v>
      </c>
      <c r="F57" t="s">
        <v>290</v>
      </c>
      <c r="G57" t="s">
        <v>59</v>
      </c>
      <c r="H57" t="s">
        <v>38</v>
      </c>
      <c r="I57" t="s">
        <v>26</v>
      </c>
      <c r="J57" t="s">
        <v>87</v>
      </c>
      <c r="K57" t="s">
        <v>291</v>
      </c>
      <c r="L57" t="s">
        <v>81</v>
      </c>
      <c r="M57" s="2">
        <v>3225.7644050907202</v>
      </c>
      <c r="N57" s="2">
        <v>133.39727471691501</v>
      </c>
      <c r="O57" t="s">
        <v>43</v>
      </c>
      <c r="P57">
        <v>1</v>
      </c>
      <c r="Q57" t="s">
        <v>44</v>
      </c>
      <c r="R57" t="s">
        <v>45</v>
      </c>
      <c r="S57" s="2">
        <v>5.0355923518644801</v>
      </c>
      <c r="T57" s="2">
        <v>34.728766615267503</v>
      </c>
      <c r="U57" t="str">
        <f>_xlfn.IFS(Table13[[#This Row],[Risk_Score]]&gt;80,"High",AND(Table13[[#This Row],[Risk_Score]]&lt;=80,Table13[[#This Row],[Risk_Score]]&gt;45),"Normal",Table13[[#This Row],[Risk_Score]]&lt;=45,"Low")</f>
        <v>Low</v>
      </c>
      <c r="V57" s="7">
        <f t="shared" si="0"/>
        <v>3092.3671303738101</v>
      </c>
    </row>
    <row r="58" spans="1:22">
      <c r="A58" t="s">
        <v>292</v>
      </c>
      <c r="B58" t="s">
        <v>293</v>
      </c>
      <c r="C58" t="s">
        <v>1763</v>
      </c>
      <c r="D58" s="2">
        <v>29368.118189571898</v>
      </c>
      <c r="E58" s="4">
        <v>45686</v>
      </c>
      <c r="F58" t="s">
        <v>294</v>
      </c>
      <c r="G58" t="s">
        <v>181</v>
      </c>
      <c r="H58" t="s">
        <v>25</v>
      </c>
      <c r="I58" t="s">
        <v>51</v>
      </c>
      <c r="J58" t="s">
        <v>60</v>
      </c>
      <c r="K58" t="s">
        <v>295</v>
      </c>
      <c r="L58" t="s">
        <v>120</v>
      </c>
      <c r="M58" s="2">
        <v>2339.8380581705101</v>
      </c>
      <c r="N58" s="2">
        <v>112.580512107966</v>
      </c>
      <c r="O58" t="s">
        <v>62</v>
      </c>
      <c r="P58">
        <v>4</v>
      </c>
      <c r="Q58" t="s">
        <v>44</v>
      </c>
      <c r="R58" t="s">
        <v>45</v>
      </c>
      <c r="S58" s="2">
        <v>26.613188738964599</v>
      </c>
      <c r="T58" s="2">
        <v>9.1984510670799899</v>
      </c>
      <c r="U58" t="str">
        <f>_xlfn.IFS(Table13[[#This Row],[Risk_Score]]&gt;80,"High",AND(Table13[[#This Row],[Risk_Score]]&lt;=80,Table13[[#This Row],[Risk_Score]]&gt;45),"Normal",Table13[[#This Row],[Risk_Score]]&lt;=45,"Low")</f>
        <v>Low</v>
      </c>
      <c r="V58" s="7">
        <f t="shared" si="0"/>
        <v>2227.2575460625399</v>
      </c>
    </row>
    <row r="59" spans="1:22">
      <c r="A59" t="s">
        <v>296</v>
      </c>
      <c r="B59" t="s">
        <v>269</v>
      </c>
      <c r="C59" t="s">
        <v>85</v>
      </c>
      <c r="D59" s="2">
        <v>38616.910831852401</v>
      </c>
      <c r="E59" s="4">
        <v>45686</v>
      </c>
      <c r="F59" t="s">
        <v>297</v>
      </c>
      <c r="G59" t="s">
        <v>163</v>
      </c>
      <c r="H59" t="s">
        <v>1762</v>
      </c>
      <c r="I59" t="s">
        <v>99</v>
      </c>
      <c r="J59" t="s">
        <v>87</v>
      </c>
      <c r="K59" t="s">
        <v>298</v>
      </c>
      <c r="L59" t="s">
        <v>155</v>
      </c>
      <c r="M59" s="2">
        <v>4904.9293368021899</v>
      </c>
      <c r="N59" s="2">
        <v>146.32754883370399</v>
      </c>
      <c r="O59" t="s">
        <v>43</v>
      </c>
      <c r="P59">
        <v>2</v>
      </c>
      <c r="Q59" t="s">
        <v>63</v>
      </c>
      <c r="R59" t="s">
        <v>133</v>
      </c>
      <c r="S59" s="2">
        <v>-25.157492748360799</v>
      </c>
      <c r="T59" s="2">
        <v>52.8226607727157</v>
      </c>
      <c r="U59" t="str">
        <f>_xlfn.IFS(Table13[[#This Row],[Risk_Score]]&gt;80,"High",AND(Table13[[#This Row],[Risk_Score]]&lt;=80,Table13[[#This Row],[Risk_Score]]&gt;45),"Normal",Table13[[#This Row],[Risk_Score]]&lt;=45,"Low")</f>
        <v>Normal</v>
      </c>
      <c r="V59" s="7">
        <f t="shared" si="0"/>
        <v>4758.6017879684896</v>
      </c>
    </row>
    <row r="60" spans="1:22">
      <c r="A60" t="s">
        <v>299</v>
      </c>
      <c r="B60" t="s">
        <v>300</v>
      </c>
      <c r="C60" t="s">
        <v>85</v>
      </c>
      <c r="D60" s="2">
        <v>46653.609548287699</v>
      </c>
      <c r="E60" s="4">
        <v>45688</v>
      </c>
      <c r="F60" t="s">
        <v>301</v>
      </c>
      <c r="G60" t="s">
        <v>59</v>
      </c>
      <c r="H60" t="s">
        <v>25</v>
      </c>
      <c r="I60" t="s">
        <v>99</v>
      </c>
      <c r="J60" t="s">
        <v>60</v>
      </c>
      <c r="K60" t="s">
        <v>302</v>
      </c>
      <c r="L60" t="s">
        <v>42</v>
      </c>
      <c r="M60" s="2">
        <v>4049.93569472431</v>
      </c>
      <c r="N60" s="2">
        <v>129.05382158670699</v>
      </c>
      <c r="O60" t="s">
        <v>43</v>
      </c>
      <c r="P60">
        <v>3</v>
      </c>
      <c r="Q60" t="s">
        <v>63</v>
      </c>
      <c r="R60" t="s">
        <v>45</v>
      </c>
      <c r="S60" s="2">
        <v>-25.696095731105501</v>
      </c>
      <c r="T60" s="2">
        <v>22.980634142266499</v>
      </c>
      <c r="U60" t="str">
        <f>_xlfn.IFS(Table13[[#This Row],[Risk_Score]]&gt;80,"High",AND(Table13[[#This Row],[Risk_Score]]&lt;=80,Table13[[#This Row],[Risk_Score]]&gt;45),"Normal",Table13[[#This Row],[Risk_Score]]&lt;=45,"Low")</f>
        <v>Low</v>
      </c>
      <c r="V60" s="7">
        <f t="shared" si="0"/>
        <v>3920.8818731376</v>
      </c>
    </row>
    <row r="61" spans="1:22">
      <c r="A61" t="s">
        <v>303</v>
      </c>
      <c r="B61" t="s">
        <v>304</v>
      </c>
      <c r="C61" t="s">
        <v>35</v>
      </c>
      <c r="D61" s="2">
        <v>26769.3489737366</v>
      </c>
      <c r="E61" s="4">
        <v>45689</v>
      </c>
      <c r="F61" t="s">
        <v>305</v>
      </c>
      <c r="G61" t="s">
        <v>163</v>
      </c>
      <c r="H61" t="s">
        <v>38</v>
      </c>
      <c r="I61" t="s">
        <v>75</v>
      </c>
      <c r="J61" t="s">
        <v>60</v>
      </c>
      <c r="K61" t="s">
        <v>306</v>
      </c>
      <c r="L61" t="s">
        <v>42</v>
      </c>
      <c r="M61" s="2">
        <v>1747.0528757869799</v>
      </c>
      <c r="N61" s="2">
        <v>0</v>
      </c>
      <c r="O61" t="s">
        <v>43</v>
      </c>
      <c r="P61">
        <v>2</v>
      </c>
      <c r="Q61" t="s">
        <v>95</v>
      </c>
      <c r="R61" t="s">
        <v>133</v>
      </c>
      <c r="S61" s="2">
        <v>-23.029165544754701</v>
      </c>
      <c r="T61" s="2">
        <v>64.357622273982003</v>
      </c>
      <c r="U61" t="str">
        <f>_xlfn.IFS(Table13[[#This Row],[Risk_Score]]&gt;80,"High",AND(Table13[[#This Row],[Risk_Score]]&lt;=80,Table13[[#This Row],[Risk_Score]]&gt;45),"Normal",Table13[[#This Row],[Risk_Score]]&lt;=45,"Low")</f>
        <v>Normal</v>
      </c>
      <c r="V61" s="7">
        <f t="shared" si="0"/>
        <v>1747.0528757869799</v>
      </c>
    </row>
    <row r="62" spans="1:22">
      <c r="A62" t="s">
        <v>307</v>
      </c>
      <c r="B62" t="s">
        <v>308</v>
      </c>
      <c r="C62" t="s">
        <v>35</v>
      </c>
      <c r="D62" s="2">
        <v>708.93330867042096</v>
      </c>
      <c r="E62" s="4">
        <v>45690</v>
      </c>
      <c r="F62" t="s">
        <v>309</v>
      </c>
      <c r="G62" t="s">
        <v>24</v>
      </c>
      <c r="H62" t="s">
        <v>1762</v>
      </c>
      <c r="I62" t="s">
        <v>51</v>
      </c>
      <c r="J62" t="s">
        <v>60</v>
      </c>
      <c r="K62" t="s">
        <v>310</v>
      </c>
      <c r="L62" t="s">
        <v>155</v>
      </c>
      <c r="M62" s="2">
        <v>3049.3346673005199</v>
      </c>
      <c r="N62" s="2">
        <v>0</v>
      </c>
      <c r="O62" t="s">
        <v>43</v>
      </c>
      <c r="P62">
        <v>3</v>
      </c>
      <c r="Q62" t="s">
        <v>44</v>
      </c>
      <c r="R62" t="s">
        <v>45</v>
      </c>
      <c r="S62" s="2">
        <v>29.566259190764001</v>
      </c>
      <c r="T62" s="2">
        <v>66.187838804469095</v>
      </c>
      <c r="U62" t="str">
        <f>_xlfn.IFS(Table13[[#This Row],[Risk_Score]]&gt;80,"High",AND(Table13[[#This Row],[Risk_Score]]&lt;=80,Table13[[#This Row],[Risk_Score]]&gt;45),"Normal",Table13[[#This Row],[Risk_Score]]&lt;=45,"Low")</f>
        <v>Normal</v>
      </c>
      <c r="V62" s="7">
        <f t="shared" si="0"/>
        <v>3049.3346673005199</v>
      </c>
    </row>
    <row r="63" spans="1:22">
      <c r="A63" t="s">
        <v>311</v>
      </c>
      <c r="B63" t="s">
        <v>312</v>
      </c>
      <c r="C63" t="s">
        <v>85</v>
      </c>
      <c r="D63" s="2">
        <v>21084.735355387202</v>
      </c>
      <c r="E63" s="4">
        <v>45691</v>
      </c>
      <c r="F63" t="s">
        <v>313</v>
      </c>
      <c r="G63" t="s">
        <v>37</v>
      </c>
      <c r="H63" t="s">
        <v>38</v>
      </c>
      <c r="I63" t="s">
        <v>75</v>
      </c>
      <c r="J63" t="s">
        <v>60</v>
      </c>
      <c r="K63" t="s">
        <v>314</v>
      </c>
      <c r="L63" t="s">
        <v>81</v>
      </c>
      <c r="M63" s="2">
        <v>83.732754605634199</v>
      </c>
      <c r="N63" s="2">
        <v>0</v>
      </c>
      <c r="O63" t="s">
        <v>54</v>
      </c>
      <c r="P63">
        <v>0</v>
      </c>
      <c r="Q63" t="s">
        <v>55</v>
      </c>
      <c r="R63" t="s">
        <v>32</v>
      </c>
      <c r="S63" s="2">
        <v>-20.492853589154201</v>
      </c>
      <c r="T63" s="2">
        <v>47.287932221054497</v>
      </c>
      <c r="U63" t="str">
        <f>_xlfn.IFS(Table13[[#This Row],[Risk_Score]]&gt;80,"High",AND(Table13[[#This Row],[Risk_Score]]&lt;=80,Table13[[#This Row],[Risk_Score]]&gt;45),"Normal",Table13[[#This Row],[Risk_Score]]&lt;=45,"Low")</f>
        <v>Normal</v>
      </c>
      <c r="V63" s="7">
        <f t="shared" si="0"/>
        <v>83.732754605634199</v>
      </c>
    </row>
    <row r="64" spans="1:22">
      <c r="A64" t="s">
        <v>315</v>
      </c>
      <c r="B64" t="s">
        <v>241</v>
      </c>
      <c r="C64" t="s">
        <v>22</v>
      </c>
      <c r="D64" s="2">
        <v>3505.66029716917</v>
      </c>
      <c r="E64" s="4">
        <v>45692</v>
      </c>
      <c r="F64" t="s">
        <v>316</v>
      </c>
      <c r="G64" t="s">
        <v>37</v>
      </c>
      <c r="H64" t="s">
        <v>38</v>
      </c>
      <c r="I64" t="s">
        <v>51</v>
      </c>
      <c r="J64" t="s">
        <v>87</v>
      </c>
      <c r="K64" t="s">
        <v>317</v>
      </c>
      <c r="L64" t="s">
        <v>155</v>
      </c>
      <c r="M64" s="2">
        <v>1074.6183261630399</v>
      </c>
      <c r="N64" s="2">
        <v>0</v>
      </c>
      <c r="O64" t="s">
        <v>62</v>
      </c>
      <c r="P64">
        <v>0</v>
      </c>
      <c r="Q64" t="s">
        <v>55</v>
      </c>
      <c r="R64" t="s">
        <v>133</v>
      </c>
      <c r="S64" s="2">
        <v>17.035715307168001</v>
      </c>
      <c r="T64" s="2">
        <v>72.294342438944696</v>
      </c>
      <c r="U64" t="str">
        <f>_xlfn.IFS(Table13[[#This Row],[Risk_Score]]&gt;80,"High",AND(Table13[[#This Row],[Risk_Score]]&lt;=80,Table13[[#This Row],[Risk_Score]]&gt;45),"Normal",Table13[[#This Row],[Risk_Score]]&lt;=45,"Low")</f>
        <v>Normal</v>
      </c>
      <c r="V64" s="7">
        <f t="shared" si="0"/>
        <v>1074.6183261630399</v>
      </c>
    </row>
    <row r="65" spans="1:22">
      <c r="A65" t="s">
        <v>318</v>
      </c>
      <c r="B65" t="s">
        <v>319</v>
      </c>
      <c r="C65" t="s">
        <v>85</v>
      </c>
      <c r="D65" s="2">
        <v>34716.508609426601</v>
      </c>
      <c r="E65" s="4">
        <v>45694</v>
      </c>
      <c r="F65" t="s">
        <v>320</v>
      </c>
      <c r="G65" t="s">
        <v>50</v>
      </c>
      <c r="H65" t="s">
        <v>38</v>
      </c>
      <c r="I65" t="s">
        <v>26</v>
      </c>
      <c r="J65" t="s">
        <v>60</v>
      </c>
      <c r="K65" t="s">
        <v>321</v>
      </c>
      <c r="L65" t="s">
        <v>81</v>
      </c>
      <c r="M65" s="2">
        <v>1607.4130992292301</v>
      </c>
      <c r="N65" s="2">
        <v>0</v>
      </c>
      <c r="O65" t="s">
        <v>54</v>
      </c>
      <c r="P65">
        <v>1</v>
      </c>
      <c r="Q65" t="s">
        <v>1763</v>
      </c>
      <c r="R65" t="s">
        <v>45</v>
      </c>
      <c r="S65" s="2">
        <v>-20.912542655975098</v>
      </c>
      <c r="T65" s="2">
        <v>23.922321366585798</v>
      </c>
      <c r="U65" t="str">
        <f>_xlfn.IFS(Table13[[#This Row],[Risk_Score]]&gt;80,"High",AND(Table13[[#This Row],[Risk_Score]]&lt;=80,Table13[[#This Row],[Risk_Score]]&gt;45),"Normal",Table13[[#This Row],[Risk_Score]]&lt;=45,"Low")</f>
        <v>Low</v>
      </c>
      <c r="V65" s="7">
        <f t="shared" si="0"/>
        <v>1607.4130992292301</v>
      </c>
    </row>
    <row r="66" spans="1:22">
      <c r="A66" t="s">
        <v>322</v>
      </c>
      <c r="B66" t="s">
        <v>323</v>
      </c>
      <c r="C66" t="s">
        <v>48</v>
      </c>
      <c r="D66" s="2">
        <v>555555</v>
      </c>
      <c r="E66" s="4">
        <v>45694</v>
      </c>
      <c r="F66" t="s">
        <v>324</v>
      </c>
      <c r="G66" t="s">
        <v>172</v>
      </c>
      <c r="H66" t="s">
        <v>38</v>
      </c>
      <c r="I66" t="s">
        <v>51</v>
      </c>
      <c r="J66" t="s">
        <v>87</v>
      </c>
      <c r="K66" t="s">
        <v>325</v>
      </c>
      <c r="L66" t="s">
        <v>29</v>
      </c>
      <c r="M66" s="2">
        <v>933.15967798930399</v>
      </c>
      <c r="N66" s="2">
        <v>157.834240582033</v>
      </c>
      <c r="O66" t="s">
        <v>62</v>
      </c>
      <c r="P66">
        <v>0</v>
      </c>
      <c r="Q66" t="s">
        <v>31</v>
      </c>
      <c r="R66" t="s">
        <v>32</v>
      </c>
      <c r="S66" s="2">
        <v>-16.5378494580908</v>
      </c>
      <c r="T66" s="2">
        <v>67.285503780969094</v>
      </c>
      <c r="U66" t="str">
        <f>_xlfn.IFS(Table13[[#This Row],[Risk_Score]]&gt;80,"High",AND(Table13[[#This Row],[Risk_Score]]&lt;=80,Table13[[#This Row],[Risk_Score]]&gt;45),"Normal",Table13[[#This Row],[Risk_Score]]&lt;=45,"Low")</f>
        <v>Normal</v>
      </c>
      <c r="V66" s="7">
        <f t="shared" ref="V66:V129" si="1">IF(M66-N66&gt;0,M66-N66,0)</f>
        <v>775.32543740727101</v>
      </c>
    </row>
    <row r="67" spans="1:22">
      <c r="A67" t="s">
        <v>326</v>
      </c>
      <c r="B67" t="s">
        <v>241</v>
      </c>
      <c r="C67" t="s">
        <v>85</v>
      </c>
      <c r="D67" s="2">
        <v>2877.1091189130698</v>
      </c>
      <c r="E67" s="4">
        <v>45694</v>
      </c>
      <c r="F67" t="s">
        <v>327</v>
      </c>
      <c r="G67" t="s">
        <v>24</v>
      </c>
      <c r="H67" t="s">
        <v>1762</v>
      </c>
      <c r="I67" t="s">
        <v>99</v>
      </c>
      <c r="J67" t="s">
        <v>60</v>
      </c>
      <c r="K67" t="s">
        <v>328</v>
      </c>
      <c r="L67" t="s">
        <v>120</v>
      </c>
      <c r="M67" s="2">
        <v>1420.5063489854599</v>
      </c>
      <c r="N67" s="2">
        <v>0</v>
      </c>
      <c r="O67" t="s">
        <v>62</v>
      </c>
      <c r="P67">
        <v>2</v>
      </c>
      <c r="Q67" t="s">
        <v>63</v>
      </c>
      <c r="R67" t="s">
        <v>45</v>
      </c>
      <c r="S67" s="2">
        <v>2.7834280327041601</v>
      </c>
      <c r="T67" s="2">
        <v>42.1554248218034</v>
      </c>
      <c r="U67" t="str">
        <f>_xlfn.IFS(Table13[[#This Row],[Risk_Score]]&gt;80,"High",AND(Table13[[#This Row],[Risk_Score]]&lt;=80,Table13[[#This Row],[Risk_Score]]&gt;45),"Normal",Table13[[#This Row],[Risk_Score]]&lt;=45,"Low")</f>
        <v>Low</v>
      </c>
      <c r="V67" s="7">
        <f t="shared" si="1"/>
        <v>1420.5063489854599</v>
      </c>
    </row>
    <row r="68" spans="1:22">
      <c r="A68" t="s">
        <v>329</v>
      </c>
      <c r="B68" t="s">
        <v>330</v>
      </c>
      <c r="C68" t="s">
        <v>22</v>
      </c>
      <c r="D68" s="2">
        <v>18331.305301735501</v>
      </c>
      <c r="E68" s="4">
        <v>45695</v>
      </c>
      <c r="F68" t="s">
        <v>331</v>
      </c>
      <c r="G68" t="s">
        <v>172</v>
      </c>
      <c r="H68" t="s">
        <v>38</v>
      </c>
      <c r="I68" t="s">
        <v>26</v>
      </c>
      <c r="J68" t="s">
        <v>87</v>
      </c>
      <c r="K68" t="s">
        <v>332</v>
      </c>
      <c r="L68" t="s">
        <v>1763</v>
      </c>
      <c r="M68" s="2">
        <v>4097.2357226072099</v>
      </c>
      <c r="N68" s="2">
        <v>0</v>
      </c>
      <c r="O68" t="s">
        <v>43</v>
      </c>
      <c r="P68">
        <v>2</v>
      </c>
      <c r="Q68" t="s">
        <v>44</v>
      </c>
      <c r="R68" t="s">
        <v>45</v>
      </c>
      <c r="S68" s="2">
        <v>-3.6789178260123898</v>
      </c>
      <c r="T68" s="2">
        <v>17.740947012118198</v>
      </c>
      <c r="U68" t="str">
        <f>_xlfn.IFS(Table13[[#This Row],[Risk_Score]]&gt;80,"High",AND(Table13[[#This Row],[Risk_Score]]&lt;=80,Table13[[#This Row],[Risk_Score]]&gt;45),"Normal",Table13[[#This Row],[Risk_Score]]&lt;=45,"Low")</f>
        <v>Low</v>
      </c>
      <c r="V68" s="7">
        <f t="shared" si="1"/>
        <v>4097.2357226072099</v>
      </c>
    </row>
    <row r="69" spans="1:22">
      <c r="A69" t="s">
        <v>333</v>
      </c>
      <c r="B69" t="s">
        <v>334</v>
      </c>
      <c r="C69" t="s">
        <v>22</v>
      </c>
      <c r="D69" s="2">
        <v>1207.0186273120501</v>
      </c>
      <c r="E69" s="4">
        <v>45696</v>
      </c>
      <c r="F69" t="s">
        <v>335</v>
      </c>
      <c r="G69" t="s">
        <v>172</v>
      </c>
      <c r="H69" t="s">
        <v>1762</v>
      </c>
      <c r="I69" t="s">
        <v>26</v>
      </c>
      <c r="J69" t="s">
        <v>60</v>
      </c>
      <c r="K69" t="s">
        <v>336</v>
      </c>
      <c r="L69" t="s">
        <v>29</v>
      </c>
      <c r="M69" s="2">
        <v>953.16730122982597</v>
      </c>
      <c r="N69" s="2">
        <v>195.45871342058101</v>
      </c>
      <c r="O69" t="s">
        <v>43</v>
      </c>
      <c r="P69">
        <v>3</v>
      </c>
      <c r="Q69" t="s">
        <v>63</v>
      </c>
      <c r="R69" t="s">
        <v>32</v>
      </c>
      <c r="S69" s="2">
        <v>29.769821590215798</v>
      </c>
      <c r="T69" s="2">
        <v>31.254365223672199</v>
      </c>
      <c r="U69" t="str">
        <f>_xlfn.IFS(Table13[[#This Row],[Risk_Score]]&gt;80,"High",AND(Table13[[#This Row],[Risk_Score]]&lt;=80,Table13[[#This Row],[Risk_Score]]&gt;45),"Normal",Table13[[#This Row],[Risk_Score]]&lt;=45,"Low")</f>
        <v>Low</v>
      </c>
      <c r="V69" s="7">
        <f t="shared" si="1"/>
        <v>757.70858780924505</v>
      </c>
    </row>
    <row r="70" spans="1:22">
      <c r="A70" t="s">
        <v>337</v>
      </c>
      <c r="B70" t="s">
        <v>338</v>
      </c>
      <c r="C70" t="s">
        <v>85</v>
      </c>
      <c r="D70" s="2">
        <v>36107.667882488699</v>
      </c>
      <c r="E70" s="4">
        <v>45696</v>
      </c>
      <c r="F70" t="s">
        <v>339</v>
      </c>
      <c r="G70" t="s">
        <v>24</v>
      </c>
      <c r="H70" t="s">
        <v>25</v>
      </c>
      <c r="I70" t="s">
        <v>75</v>
      </c>
      <c r="J70" t="s">
        <v>87</v>
      </c>
      <c r="K70" t="s">
        <v>340</v>
      </c>
      <c r="L70" t="s">
        <v>155</v>
      </c>
      <c r="M70" s="2">
        <v>4438.1875068774198</v>
      </c>
      <c r="N70" s="2">
        <v>0</v>
      </c>
      <c r="O70" t="s">
        <v>62</v>
      </c>
      <c r="P70">
        <v>2</v>
      </c>
      <c r="Q70" t="s">
        <v>44</v>
      </c>
      <c r="R70" t="s">
        <v>45</v>
      </c>
      <c r="S70" s="2">
        <v>9.5420808659400809</v>
      </c>
      <c r="T70" s="2">
        <v>93.264106255398502</v>
      </c>
      <c r="U70" t="str">
        <f>_xlfn.IFS(Table13[[#This Row],[Risk_Score]]&gt;80,"High",AND(Table13[[#This Row],[Risk_Score]]&lt;=80,Table13[[#This Row],[Risk_Score]]&gt;45),"Normal",Table13[[#This Row],[Risk_Score]]&lt;=45,"Low")</f>
        <v>High</v>
      </c>
      <c r="V70" s="7">
        <f t="shared" si="1"/>
        <v>4438.1875068774198</v>
      </c>
    </row>
    <row r="71" spans="1:22">
      <c r="A71" t="s">
        <v>341</v>
      </c>
      <c r="B71" t="s">
        <v>308</v>
      </c>
      <c r="C71" t="s">
        <v>85</v>
      </c>
      <c r="D71" s="2">
        <v>21237.483434782102</v>
      </c>
      <c r="E71" s="4">
        <v>45696</v>
      </c>
      <c r="F71" t="s">
        <v>342</v>
      </c>
      <c r="G71" t="s">
        <v>68</v>
      </c>
      <c r="H71" t="s">
        <v>25</v>
      </c>
      <c r="I71" t="s">
        <v>26</v>
      </c>
      <c r="J71" t="s">
        <v>87</v>
      </c>
      <c r="K71" t="s">
        <v>343</v>
      </c>
      <c r="L71" t="s">
        <v>155</v>
      </c>
      <c r="M71" s="2">
        <v>2263.6451094713698</v>
      </c>
      <c r="N71" s="2">
        <v>66.708167761603505</v>
      </c>
      <c r="O71" t="s">
        <v>43</v>
      </c>
      <c r="P71">
        <v>3</v>
      </c>
      <c r="Q71" t="s">
        <v>95</v>
      </c>
      <c r="R71" t="s">
        <v>32</v>
      </c>
      <c r="S71" s="2">
        <v>-4.5102880093859703</v>
      </c>
      <c r="T71" s="2">
        <v>68.023775384378297</v>
      </c>
      <c r="U71" t="str">
        <f>_xlfn.IFS(Table13[[#This Row],[Risk_Score]]&gt;80,"High",AND(Table13[[#This Row],[Risk_Score]]&lt;=80,Table13[[#This Row],[Risk_Score]]&gt;45),"Normal",Table13[[#This Row],[Risk_Score]]&lt;=45,"Low")</f>
        <v>Normal</v>
      </c>
      <c r="V71" s="7">
        <f t="shared" si="1"/>
        <v>2196.9369417097701</v>
      </c>
    </row>
    <row r="72" spans="1:22">
      <c r="A72" t="s">
        <v>344</v>
      </c>
      <c r="B72" t="s">
        <v>345</v>
      </c>
      <c r="C72" t="s">
        <v>35</v>
      </c>
      <c r="D72" s="2">
        <v>31868.5516489519</v>
      </c>
      <c r="E72" s="4">
        <v>45696</v>
      </c>
      <c r="F72" t="s">
        <v>346</v>
      </c>
      <c r="G72" t="s">
        <v>37</v>
      </c>
      <c r="H72" t="s">
        <v>1762</v>
      </c>
      <c r="I72" t="s">
        <v>99</v>
      </c>
      <c r="J72" t="s">
        <v>60</v>
      </c>
      <c r="K72" t="s">
        <v>347</v>
      </c>
      <c r="L72" t="s">
        <v>53</v>
      </c>
      <c r="M72" s="2">
        <v>758.64872116540505</v>
      </c>
      <c r="N72" s="2">
        <v>0</v>
      </c>
      <c r="O72" t="s">
        <v>43</v>
      </c>
      <c r="P72">
        <v>3</v>
      </c>
      <c r="Q72" t="s">
        <v>1763</v>
      </c>
      <c r="R72" t="s">
        <v>45</v>
      </c>
      <c r="S72" s="2">
        <v>-0.48793068496759401</v>
      </c>
      <c r="T72" s="2">
        <v>9.2269004562762795</v>
      </c>
      <c r="U72" t="str">
        <f>_xlfn.IFS(Table13[[#This Row],[Risk_Score]]&gt;80,"High",AND(Table13[[#This Row],[Risk_Score]]&lt;=80,Table13[[#This Row],[Risk_Score]]&gt;45),"Normal",Table13[[#This Row],[Risk_Score]]&lt;=45,"Low")</f>
        <v>Low</v>
      </c>
      <c r="V72" s="7">
        <f t="shared" si="1"/>
        <v>758.64872116540505</v>
      </c>
    </row>
    <row r="73" spans="1:22">
      <c r="A73" t="s">
        <v>348</v>
      </c>
      <c r="B73" t="s">
        <v>349</v>
      </c>
      <c r="C73" t="s">
        <v>35</v>
      </c>
      <c r="D73" s="2">
        <v>24962.5601226621</v>
      </c>
      <c r="E73" s="4">
        <v>45697</v>
      </c>
      <c r="F73" t="s">
        <v>350</v>
      </c>
      <c r="G73" t="s">
        <v>141</v>
      </c>
      <c r="H73" t="s">
        <v>1762</v>
      </c>
      <c r="I73" t="s">
        <v>51</v>
      </c>
      <c r="J73" t="s">
        <v>87</v>
      </c>
      <c r="K73" t="s">
        <v>351</v>
      </c>
      <c r="L73" t="s">
        <v>53</v>
      </c>
      <c r="M73" s="2">
        <v>2283.7697396619201</v>
      </c>
      <c r="N73" s="2">
        <v>0</v>
      </c>
      <c r="O73" t="s">
        <v>43</v>
      </c>
      <c r="P73">
        <v>2</v>
      </c>
      <c r="Q73" t="s">
        <v>44</v>
      </c>
      <c r="R73" t="s">
        <v>133</v>
      </c>
      <c r="S73" s="2">
        <v>-23.5551404738267</v>
      </c>
      <c r="T73" s="2">
        <v>69.5258400755434</v>
      </c>
      <c r="U73" t="str">
        <f>_xlfn.IFS(Table13[[#This Row],[Risk_Score]]&gt;80,"High",AND(Table13[[#This Row],[Risk_Score]]&lt;=80,Table13[[#This Row],[Risk_Score]]&gt;45),"Normal",Table13[[#This Row],[Risk_Score]]&lt;=45,"Low")</f>
        <v>Normal</v>
      </c>
      <c r="V73" s="7">
        <f t="shared" si="1"/>
        <v>2283.7697396619201</v>
      </c>
    </row>
    <row r="74" spans="1:22">
      <c r="A74" t="s">
        <v>352</v>
      </c>
      <c r="B74" t="s">
        <v>353</v>
      </c>
      <c r="C74" t="s">
        <v>85</v>
      </c>
      <c r="D74" s="2">
        <v>41945.269679261</v>
      </c>
      <c r="E74" s="4">
        <v>45697</v>
      </c>
      <c r="F74" t="s">
        <v>354</v>
      </c>
      <c r="G74" t="s">
        <v>92</v>
      </c>
      <c r="H74" t="s">
        <v>1762</v>
      </c>
      <c r="I74" t="s">
        <v>51</v>
      </c>
      <c r="J74" t="s">
        <v>87</v>
      </c>
      <c r="K74" t="s">
        <v>355</v>
      </c>
      <c r="L74" t="s">
        <v>29</v>
      </c>
      <c r="M74" s="2">
        <v>4120.0291572562001</v>
      </c>
      <c r="N74" s="2">
        <v>0</v>
      </c>
      <c r="O74" t="s">
        <v>43</v>
      </c>
      <c r="P74">
        <v>3</v>
      </c>
      <c r="Q74" t="s">
        <v>44</v>
      </c>
      <c r="R74" t="s">
        <v>133</v>
      </c>
      <c r="S74" s="2">
        <v>11.7246402581835</v>
      </c>
      <c r="T74" s="2">
        <v>98.973659771227105</v>
      </c>
      <c r="U74" t="str">
        <f>_xlfn.IFS(Table13[[#This Row],[Risk_Score]]&gt;80,"High",AND(Table13[[#This Row],[Risk_Score]]&lt;=80,Table13[[#This Row],[Risk_Score]]&gt;45),"Normal",Table13[[#This Row],[Risk_Score]]&lt;=45,"Low")</f>
        <v>High</v>
      </c>
      <c r="V74" s="7">
        <f t="shared" si="1"/>
        <v>4120.0291572562001</v>
      </c>
    </row>
    <row r="75" spans="1:22">
      <c r="A75" t="s">
        <v>356</v>
      </c>
      <c r="B75" t="s">
        <v>223</v>
      </c>
      <c r="C75" t="s">
        <v>85</v>
      </c>
      <c r="D75" s="2">
        <v>44840.852122403601</v>
      </c>
      <c r="E75" s="4">
        <v>45697</v>
      </c>
      <c r="F75" t="s">
        <v>357</v>
      </c>
      <c r="G75" t="s">
        <v>59</v>
      </c>
      <c r="H75" t="s">
        <v>38</v>
      </c>
      <c r="I75" t="s">
        <v>99</v>
      </c>
      <c r="J75" t="s">
        <v>60</v>
      </c>
      <c r="K75" t="s">
        <v>358</v>
      </c>
      <c r="L75" t="s">
        <v>155</v>
      </c>
      <c r="M75" s="2">
        <v>4235.9849352728397</v>
      </c>
      <c r="N75" s="2">
        <v>0</v>
      </c>
      <c r="O75" t="s">
        <v>62</v>
      </c>
      <c r="P75">
        <v>1</v>
      </c>
      <c r="Q75" t="s">
        <v>55</v>
      </c>
      <c r="R75" t="s">
        <v>45</v>
      </c>
      <c r="S75" s="2">
        <v>-12.9187343073437</v>
      </c>
      <c r="T75" s="2">
        <v>38.516262777253999</v>
      </c>
      <c r="U75" t="str">
        <f>_xlfn.IFS(Table13[[#This Row],[Risk_Score]]&gt;80,"High",AND(Table13[[#This Row],[Risk_Score]]&lt;=80,Table13[[#This Row],[Risk_Score]]&gt;45),"Normal",Table13[[#This Row],[Risk_Score]]&lt;=45,"Low")</f>
        <v>Low</v>
      </c>
      <c r="V75" s="7">
        <f t="shared" si="1"/>
        <v>4235.9849352728397</v>
      </c>
    </row>
    <row r="76" spans="1:22">
      <c r="A76" t="s">
        <v>359</v>
      </c>
      <c r="B76" t="s">
        <v>360</v>
      </c>
      <c r="C76" t="s">
        <v>35</v>
      </c>
      <c r="D76" s="2">
        <v>26798.332929041</v>
      </c>
      <c r="E76" s="4">
        <v>45697</v>
      </c>
      <c r="F76" t="s">
        <v>361</v>
      </c>
      <c r="G76" t="s">
        <v>181</v>
      </c>
      <c r="H76" t="s">
        <v>1762</v>
      </c>
      <c r="I76" t="s">
        <v>26</v>
      </c>
      <c r="J76" t="s">
        <v>87</v>
      </c>
      <c r="K76" t="s">
        <v>362</v>
      </c>
      <c r="L76" t="s">
        <v>120</v>
      </c>
      <c r="M76" s="2">
        <v>2589.2477816134901</v>
      </c>
      <c r="N76" s="2">
        <v>237.21745707358701</v>
      </c>
      <c r="O76" t="s">
        <v>54</v>
      </c>
      <c r="P76">
        <v>2</v>
      </c>
      <c r="Q76" t="s">
        <v>1763</v>
      </c>
      <c r="R76" t="s">
        <v>133</v>
      </c>
      <c r="S76" s="2">
        <v>-28.6530450941205</v>
      </c>
      <c r="T76" s="2">
        <v>13.3468879282128</v>
      </c>
      <c r="U76" t="str">
        <f>_xlfn.IFS(Table13[[#This Row],[Risk_Score]]&gt;80,"High",AND(Table13[[#This Row],[Risk_Score]]&lt;=80,Table13[[#This Row],[Risk_Score]]&gt;45),"Normal",Table13[[#This Row],[Risk_Score]]&lt;=45,"Low")</f>
        <v>Low</v>
      </c>
      <c r="V76" s="7">
        <f t="shared" si="1"/>
        <v>2352.0303245399</v>
      </c>
    </row>
    <row r="77" spans="1:22">
      <c r="A77" t="s">
        <v>363</v>
      </c>
      <c r="B77" t="s">
        <v>364</v>
      </c>
      <c r="C77" t="s">
        <v>48</v>
      </c>
      <c r="D77" s="2">
        <v>34558.955599037501</v>
      </c>
      <c r="E77" s="4">
        <v>45697</v>
      </c>
      <c r="F77" t="s">
        <v>365</v>
      </c>
      <c r="G77" t="s">
        <v>59</v>
      </c>
      <c r="H77" t="s">
        <v>38</v>
      </c>
      <c r="I77" t="s">
        <v>26</v>
      </c>
      <c r="J77" t="s">
        <v>87</v>
      </c>
      <c r="K77" t="s">
        <v>366</v>
      </c>
      <c r="L77" t="s">
        <v>120</v>
      </c>
      <c r="M77" s="2">
        <v>651.00378224961196</v>
      </c>
      <c r="N77" s="2">
        <v>0</v>
      </c>
      <c r="O77" t="s">
        <v>43</v>
      </c>
      <c r="P77">
        <v>0</v>
      </c>
      <c r="Q77" t="s">
        <v>44</v>
      </c>
      <c r="R77" t="s">
        <v>45</v>
      </c>
      <c r="S77" s="2">
        <v>-14.686053939342999</v>
      </c>
      <c r="T77" s="2">
        <v>77.380074856903406</v>
      </c>
      <c r="U77" t="str">
        <f>_xlfn.IFS(Table13[[#This Row],[Risk_Score]]&gt;80,"High",AND(Table13[[#This Row],[Risk_Score]]&lt;=80,Table13[[#This Row],[Risk_Score]]&gt;45),"Normal",Table13[[#This Row],[Risk_Score]]&lt;=45,"Low")</f>
        <v>Normal</v>
      </c>
      <c r="V77" s="7">
        <f t="shared" si="1"/>
        <v>651.00378224961196</v>
      </c>
    </row>
    <row r="78" spans="1:22">
      <c r="A78" t="s">
        <v>367</v>
      </c>
      <c r="B78" t="s">
        <v>368</v>
      </c>
      <c r="C78" t="s">
        <v>35</v>
      </c>
      <c r="D78" s="2">
        <v>26376.265486298798</v>
      </c>
      <c r="E78" s="4">
        <v>45698</v>
      </c>
      <c r="F78" t="s">
        <v>369</v>
      </c>
      <c r="G78" t="s">
        <v>68</v>
      </c>
      <c r="H78" t="s">
        <v>25</v>
      </c>
      <c r="I78" t="s">
        <v>26</v>
      </c>
      <c r="J78" t="s">
        <v>87</v>
      </c>
      <c r="K78" t="s">
        <v>370</v>
      </c>
      <c r="L78" t="s">
        <v>53</v>
      </c>
      <c r="M78" s="2">
        <v>3657.9055322172899</v>
      </c>
      <c r="N78" s="2">
        <v>139.565235387135</v>
      </c>
      <c r="O78" t="s">
        <v>54</v>
      </c>
      <c r="P78">
        <v>1</v>
      </c>
      <c r="Q78" t="s">
        <v>44</v>
      </c>
      <c r="R78" t="s">
        <v>45</v>
      </c>
      <c r="S78" s="2">
        <v>23.272375911079799</v>
      </c>
      <c r="T78" s="2">
        <v>9.5040240651619392</v>
      </c>
      <c r="U78" t="str">
        <f>_xlfn.IFS(Table13[[#This Row],[Risk_Score]]&gt;80,"High",AND(Table13[[#This Row],[Risk_Score]]&lt;=80,Table13[[#This Row],[Risk_Score]]&gt;45),"Normal",Table13[[#This Row],[Risk_Score]]&lt;=45,"Low")</f>
        <v>Low</v>
      </c>
      <c r="V78" s="7">
        <f t="shared" si="1"/>
        <v>3518.3402968301498</v>
      </c>
    </row>
    <row r="79" spans="1:22">
      <c r="A79" t="s">
        <v>371</v>
      </c>
      <c r="B79" t="s">
        <v>372</v>
      </c>
      <c r="C79" t="s">
        <v>48</v>
      </c>
      <c r="D79" s="2">
        <v>1807.9827299444</v>
      </c>
      <c r="E79" s="4">
        <v>45698</v>
      </c>
      <c r="F79" t="s">
        <v>373</v>
      </c>
      <c r="G79" t="s">
        <v>24</v>
      </c>
      <c r="H79" t="s">
        <v>1762</v>
      </c>
      <c r="I79" t="s">
        <v>51</v>
      </c>
      <c r="J79" t="s">
        <v>60</v>
      </c>
      <c r="K79" t="s">
        <v>374</v>
      </c>
      <c r="L79" t="s">
        <v>81</v>
      </c>
      <c r="M79" s="2">
        <v>149.114987174329</v>
      </c>
      <c r="N79" s="2">
        <v>0</v>
      </c>
      <c r="O79" t="s">
        <v>62</v>
      </c>
      <c r="P79">
        <v>1</v>
      </c>
      <c r="Q79" t="s">
        <v>44</v>
      </c>
      <c r="R79" t="s">
        <v>32</v>
      </c>
      <c r="S79" s="2">
        <v>20.0657471943445</v>
      </c>
      <c r="T79" s="2">
        <v>68.833076233267704</v>
      </c>
      <c r="U79" t="str">
        <f>_xlfn.IFS(Table13[[#This Row],[Risk_Score]]&gt;80,"High",AND(Table13[[#This Row],[Risk_Score]]&lt;=80,Table13[[#This Row],[Risk_Score]]&gt;45),"Normal",Table13[[#This Row],[Risk_Score]]&lt;=45,"Low")</f>
        <v>Normal</v>
      </c>
      <c r="V79" s="7">
        <f t="shared" si="1"/>
        <v>149.114987174329</v>
      </c>
    </row>
    <row r="80" spans="1:22">
      <c r="A80" t="s">
        <v>375</v>
      </c>
      <c r="B80" t="s">
        <v>135</v>
      </c>
      <c r="C80" t="s">
        <v>85</v>
      </c>
      <c r="D80" s="2">
        <v>27491.206796459999</v>
      </c>
      <c r="E80" s="4">
        <v>45702</v>
      </c>
      <c r="F80" t="s">
        <v>376</v>
      </c>
      <c r="G80" t="s">
        <v>181</v>
      </c>
      <c r="H80" t="s">
        <v>25</v>
      </c>
      <c r="I80" t="s">
        <v>75</v>
      </c>
      <c r="J80" t="s">
        <v>87</v>
      </c>
      <c r="K80" t="s">
        <v>377</v>
      </c>
      <c r="L80" t="s">
        <v>42</v>
      </c>
      <c r="M80" s="2">
        <v>3763.7909307322102</v>
      </c>
      <c r="N80" s="2">
        <v>0</v>
      </c>
      <c r="O80" t="s">
        <v>62</v>
      </c>
      <c r="P80">
        <v>3</v>
      </c>
      <c r="Q80" t="s">
        <v>31</v>
      </c>
      <c r="R80" t="s">
        <v>32</v>
      </c>
      <c r="S80" s="2">
        <v>-10.4532273752629</v>
      </c>
      <c r="T80" s="2">
        <v>8.0949702022356096</v>
      </c>
      <c r="U80" t="str">
        <f>_xlfn.IFS(Table13[[#This Row],[Risk_Score]]&gt;80,"High",AND(Table13[[#This Row],[Risk_Score]]&lt;=80,Table13[[#This Row],[Risk_Score]]&gt;45),"Normal",Table13[[#This Row],[Risk_Score]]&lt;=45,"Low")</f>
        <v>Low</v>
      </c>
      <c r="V80" s="7">
        <f t="shared" si="1"/>
        <v>3763.7909307322102</v>
      </c>
    </row>
    <row r="81" spans="1:22">
      <c r="A81" t="s">
        <v>378</v>
      </c>
      <c r="B81" t="s">
        <v>379</v>
      </c>
      <c r="C81" t="s">
        <v>85</v>
      </c>
      <c r="D81" s="2">
        <v>42551.300254821101</v>
      </c>
      <c r="E81" s="4">
        <v>45702</v>
      </c>
      <c r="F81" t="s">
        <v>380</v>
      </c>
      <c r="G81" t="s">
        <v>92</v>
      </c>
      <c r="H81" t="s">
        <v>38</v>
      </c>
      <c r="I81" t="s">
        <v>26</v>
      </c>
      <c r="J81" t="s">
        <v>60</v>
      </c>
      <c r="K81" t="s">
        <v>381</v>
      </c>
      <c r="L81" t="s">
        <v>155</v>
      </c>
      <c r="M81" s="2">
        <v>207.02633448935401</v>
      </c>
      <c r="N81" s="2">
        <v>161.40489672392499</v>
      </c>
      <c r="O81" t="s">
        <v>62</v>
      </c>
      <c r="P81">
        <v>1</v>
      </c>
      <c r="Q81" t="s">
        <v>31</v>
      </c>
      <c r="R81" t="s">
        <v>45</v>
      </c>
      <c r="S81" s="2">
        <v>-22.602964352855199</v>
      </c>
      <c r="T81" s="2">
        <v>85.791707224356799</v>
      </c>
      <c r="U81" t="str">
        <f>_xlfn.IFS(Table13[[#This Row],[Risk_Score]]&gt;80,"High",AND(Table13[[#This Row],[Risk_Score]]&lt;=80,Table13[[#This Row],[Risk_Score]]&gt;45),"Normal",Table13[[#This Row],[Risk_Score]]&lt;=45,"Low")</f>
        <v>High</v>
      </c>
      <c r="V81" s="7">
        <f t="shared" si="1"/>
        <v>45.621437765429</v>
      </c>
    </row>
    <row r="82" spans="1:22">
      <c r="A82" t="s">
        <v>382</v>
      </c>
      <c r="B82" t="s">
        <v>383</v>
      </c>
      <c r="C82" t="s">
        <v>48</v>
      </c>
      <c r="D82" s="2">
        <v>48948.678637236502</v>
      </c>
      <c r="E82" s="4">
        <v>45703</v>
      </c>
      <c r="F82" t="s">
        <v>384</v>
      </c>
      <c r="G82" t="s">
        <v>68</v>
      </c>
      <c r="H82" t="s">
        <v>1762</v>
      </c>
      <c r="I82" t="s">
        <v>26</v>
      </c>
      <c r="J82" t="s">
        <v>60</v>
      </c>
      <c r="K82" t="s">
        <v>385</v>
      </c>
      <c r="L82" t="s">
        <v>53</v>
      </c>
      <c r="M82" s="2">
        <v>3016.8963147163299</v>
      </c>
      <c r="N82" s="2">
        <v>0</v>
      </c>
      <c r="O82" t="s">
        <v>62</v>
      </c>
      <c r="P82">
        <v>3</v>
      </c>
      <c r="Q82" t="s">
        <v>31</v>
      </c>
      <c r="R82" t="s">
        <v>32</v>
      </c>
      <c r="S82" s="2">
        <v>-17.0324400990743</v>
      </c>
      <c r="T82" s="2">
        <v>72.818335718848203</v>
      </c>
      <c r="U82" t="str">
        <f>_xlfn.IFS(Table13[[#This Row],[Risk_Score]]&gt;80,"High",AND(Table13[[#This Row],[Risk_Score]]&lt;=80,Table13[[#This Row],[Risk_Score]]&gt;45),"Normal",Table13[[#This Row],[Risk_Score]]&lt;=45,"Low")</f>
        <v>Normal</v>
      </c>
      <c r="V82" s="7">
        <f t="shared" si="1"/>
        <v>3016.8963147163299</v>
      </c>
    </row>
    <row r="83" spans="1:22">
      <c r="A83" t="s">
        <v>386</v>
      </c>
      <c r="B83" t="s">
        <v>387</v>
      </c>
      <c r="C83" t="s">
        <v>35</v>
      </c>
      <c r="D83" s="2">
        <v>45402.5199100795</v>
      </c>
      <c r="E83" s="4">
        <v>45703</v>
      </c>
      <c r="F83" t="s">
        <v>388</v>
      </c>
      <c r="G83" t="s">
        <v>59</v>
      </c>
      <c r="H83" t="s">
        <v>25</v>
      </c>
      <c r="I83" t="s">
        <v>99</v>
      </c>
      <c r="J83" t="s">
        <v>87</v>
      </c>
      <c r="K83" t="s">
        <v>389</v>
      </c>
      <c r="L83" t="s">
        <v>120</v>
      </c>
      <c r="M83" s="2">
        <v>4525.4699952620404</v>
      </c>
      <c r="N83" s="2">
        <v>353.81029287026797</v>
      </c>
      <c r="O83" t="s">
        <v>43</v>
      </c>
      <c r="P83">
        <v>1</v>
      </c>
      <c r="Q83" t="s">
        <v>63</v>
      </c>
      <c r="R83" t="s">
        <v>133</v>
      </c>
      <c r="S83" s="2">
        <v>-9.5387896646379708</v>
      </c>
      <c r="T83" s="2">
        <v>39.196774027446303</v>
      </c>
      <c r="U83" t="str">
        <f>_xlfn.IFS(Table13[[#This Row],[Risk_Score]]&gt;80,"High",AND(Table13[[#This Row],[Risk_Score]]&lt;=80,Table13[[#This Row],[Risk_Score]]&gt;45),"Normal",Table13[[#This Row],[Risk_Score]]&lt;=45,"Low")</f>
        <v>Low</v>
      </c>
      <c r="V83" s="7">
        <f t="shared" si="1"/>
        <v>4171.6597023917702</v>
      </c>
    </row>
    <row r="84" spans="1:22">
      <c r="A84" t="s">
        <v>390</v>
      </c>
      <c r="B84" t="s">
        <v>391</v>
      </c>
      <c r="C84" t="s">
        <v>85</v>
      </c>
      <c r="D84" s="2">
        <v>15642.5112395246</v>
      </c>
      <c r="E84" s="4">
        <v>45703</v>
      </c>
      <c r="F84" t="s">
        <v>392</v>
      </c>
      <c r="G84" t="s">
        <v>68</v>
      </c>
      <c r="H84" t="s">
        <v>38</v>
      </c>
      <c r="I84" t="s">
        <v>99</v>
      </c>
      <c r="J84" t="s">
        <v>60</v>
      </c>
      <c r="K84" t="s">
        <v>393</v>
      </c>
      <c r="L84" t="s">
        <v>42</v>
      </c>
      <c r="M84" s="2">
        <v>2654.1084661661398</v>
      </c>
      <c r="N84" s="2">
        <v>0</v>
      </c>
      <c r="O84" t="s">
        <v>62</v>
      </c>
      <c r="P84">
        <v>0</v>
      </c>
      <c r="Q84" t="s">
        <v>44</v>
      </c>
      <c r="R84" t="s">
        <v>133</v>
      </c>
      <c r="S84" s="2">
        <v>5.3571436717710696</v>
      </c>
      <c r="T84" s="2">
        <v>7.5202028762802504</v>
      </c>
      <c r="U84" t="str">
        <f>_xlfn.IFS(Table13[[#This Row],[Risk_Score]]&gt;80,"High",AND(Table13[[#This Row],[Risk_Score]]&lt;=80,Table13[[#This Row],[Risk_Score]]&gt;45),"Normal",Table13[[#This Row],[Risk_Score]]&lt;=45,"Low")</f>
        <v>Low</v>
      </c>
      <c r="V84" s="7">
        <f t="shared" si="1"/>
        <v>2654.1084661661398</v>
      </c>
    </row>
    <row r="85" spans="1:22">
      <c r="A85" t="s">
        <v>394</v>
      </c>
      <c r="B85" t="s">
        <v>395</v>
      </c>
      <c r="C85" t="s">
        <v>35</v>
      </c>
      <c r="D85" s="2">
        <v>36053.751463434099</v>
      </c>
      <c r="E85" s="4">
        <v>45704</v>
      </c>
      <c r="F85" t="s">
        <v>396</v>
      </c>
      <c r="G85" t="s">
        <v>37</v>
      </c>
      <c r="H85" t="s">
        <v>1762</v>
      </c>
      <c r="I85" t="s">
        <v>26</v>
      </c>
      <c r="J85" t="s">
        <v>87</v>
      </c>
      <c r="K85" t="s">
        <v>397</v>
      </c>
      <c r="L85" t="s">
        <v>81</v>
      </c>
      <c r="M85" s="2">
        <v>2370.5099085086099</v>
      </c>
      <c r="N85" s="2">
        <v>405.81350722242701</v>
      </c>
      <c r="O85" t="s">
        <v>62</v>
      </c>
      <c r="P85">
        <v>4</v>
      </c>
      <c r="Q85" t="s">
        <v>55</v>
      </c>
      <c r="R85" t="s">
        <v>32</v>
      </c>
      <c r="S85" s="2">
        <v>-11.111696464765901</v>
      </c>
      <c r="T85" s="2">
        <v>55.552506806272</v>
      </c>
      <c r="U85" t="str">
        <f>_xlfn.IFS(Table13[[#This Row],[Risk_Score]]&gt;80,"High",AND(Table13[[#This Row],[Risk_Score]]&lt;=80,Table13[[#This Row],[Risk_Score]]&gt;45),"Normal",Table13[[#This Row],[Risk_Score]]&lt;=45,"Low")</f>
        <v>Normal</v>
      </c>
      <c r="V85" s="7">
        <f t="shared" si="1"/>
        <v>1964.6964012861799</v>
      </c>
    </row>
    <row r="86" spans="1:22">
      <c r="A86" t="s">
        <v>398</v>
      </c>
      <c r="B86" t="s">
        <v>399</v>
      </c>
      <c r="C86" t="s">
        <v>85</v>
      </c>
      <c r="D86" s="2">
        <v>27624.234839949098</v>
      </c>
      <c r="E86" s="4">
        <v>45704</v>
      </c>
      <c r="F86" t="s">
        <v>400</v>
      </c>
      <c r="G86" t="s">
        <v>68</v>
      </c>
      <c r="H86" t="s">
        <v>1762</v>
      </c>
      <c r="I86" t="s">
        <v>51</v>
      </c>
      <c r="J86" t="s">
        <v>87</v>
      </c>
      <c r="K86" t="s">
        <v>401</v>
      </c>
      <c r="L86" t="s">
        <v>42</v>
      </c>
      <c r="M86" s="2">
        <v>3329.7111928069899</v>
      </c>
      <c r="N86" s="2">
        <v>0</v>
      </c>
      <c r="O86" t="s">
        <v>54</v>
      </c>
      <c r="P86">
        <v>2</v>
      </c>
      <c r="Q86" t="s">
        <v>31</v>
      </c>
      <c r="R86" t="s">
        <v>32</v>
      </c>
      <c r="S86" s="2">
        <v>0</v>
      </c>
      <c r="T86" s="2">
        <v>9.4059820228588702</v>
      </c>
      <c r="U86" t="str">
        <f>_xlfn.IFS(Table13[[#This Row],[Risk_Score]]&gt;80,"High",AND(Table13[[#This Row],[Risk_Score]]&lt;=80,Table13[[#This Row],[Risk_Score]]&gt;45),"Normal",Table13[[#This Row],[Risk_Score]]&lt;=45,"Low")</f>
        <v>Low</v>
      </c>
      <c r="V86" s="7">
        <f t="shared" si="1"/>
        <v>3329.7111928069899</v>
      </c>
    </row>
    <row r="87" spans="1:22">
      <c r="A87" t="s">
        <v>402</v>
      </c>
      <c r="B87" t="s">
        <v>97</v>
      </c>
      <c r="C87" t="s">
        <v>35</v>
      </c>
      <c r="D87" s="2">
        <v>47766.292004901603</v>
      </c>
      <c r="E87" s="4">
        <v>45707</v>
      </c>
      <c r="F87" t="s">
        <v>403</v>
      </c>
      <c r="G87" t="s">
        <v>141</v>
      </c>
      <c r="H87" t="s">
        <v>1762</v>
      </c>
      <c r="I87" t="s">
        <v>75</v>
      </c>
      <c r="J87" t="s">
        <v>60</v>
      </c>
      <c r="K87" t="s">
        <v>404</v>
      </c>
      <c r="L87" t="s">
        <v>42</v>
      </c>
      <c r="M87" s="2">
        <v>4646.5545635766603</v>
      </c>
      <c r="N87" s="2">
        <v>0</v>
      </c>
      <c r="O87" t="s">
        <v>43</v>
      </c>
      <c r="P87">
        <v>3</v>
      </c>
      <c r="Q87" t="s">
        <v>95</v>
      </c>
      <c r="R87" t="s">
        <v>133</v>
      </c>
      <c r="S87" s="2">
        <v>-0.45854432823061902</v>
      </c>
      <c r="T87" s="2">
        <v>85.100376679724903</v>
      </c>
      <c r="U87" t="str">
        <f>_xlfn.IFS(Table13[[#This Row],[Risk_Score]]&gt;80,"High",AND(Table13[[#This Row],[Risk_Score]]&lt;=80,Table13[[#This Row],[Risk_Score]]&gt;45),"Normal",Table13[[#This Row],[Risk_Score]]&lt;=45,"Low")</f>
        <v>High</v>
      </c>
      <c r="V87" s="7">
        <f t="shared" si="1"/>
        <v>4646.5545635766603</v>
      </c>
    </row>
    <row r="88" spans="1:22">
      <c r="A88" t="s">
        <v>405</v>
      </c>
      <c r="B88" t="s">
        <v>330</v>
      </c>
      <c r="C88" t="s">
        <v>48</v>
      </c>
      <c r="D88" s="2">
        <v>1739.0488451475701</v>
      </c>
      <c r="E88" s="4">
        <v>45707</v>
      </c>
      <c r="F88" t="s">
        <v>406</v>
      </c>
      <c r="G88" t="s">
        <v>141</v>
      </c>
      <c r="H88" t="s">
        <v>38</v>
      </c>
      <c r="I88" t="s">
        <v>26</v>
      </c>
      <c r="J88" t="s">
        <v>87</v>
      </c>
      <c r="K88" t="s">
        <v>407</v>
      </c>
      <c r="L88" t="s">
        <v>29</v>
      </c>
      <c r="M88" s="2">
        <v>2158.6877213687198</v>
      </c>
      <c r="N88" s="2">
        <v>0</v>
      </c>
      <c r="O88" t="s">
        <v>54</v>
      </c>
      <c r="P88">
        <v>2</v>
      </c>
      <c r="Q88" t="s">
        <v>95</v>
      </c>
      <c r="R88" t="s">
        <v>133</v>
      </c>
      <c r="S88" s="2">
        <v>23.692152042331202</v>
      </c>
      <c r="T88" s="2">
        <v>38.379125590684701</v>
      </c>
      <c r="U88" t="str">
        <f>_xlfn.IFS(Table13[[#This Row],[Risk_Score]]&gt;80,"High",AND(Table13[[#This Row],[Risk_Score]]&lt;=80,Table13[[#This Row],[Risk_Score]]&gt;45),"Normal",Table13[[#This Row],[Risk_Score]]&lt;=45,"Low")</f>
        <v>Low</v>
      </c>
      <c r="V88" s="7">
        <f t="shared" si="1"/>
        <v>2158.6877213687198</v>
      </c>
    </row>
    <row r="89" spans="1:22">
      <c r="A89" t="s">
        <v>408</v>
      </c>
      <c r="B89" t="s">
        <v>409</v>
      </c>
      <c r="C89" t="s">
        <v>85</v>
      </c>
      <c r="D89" s="2">
        <v>44721.4414185067</v>
      </c>
      <c r="E89" s="4">
        <v>45709</v>
      </c>
      <c r="F89" t="s">
        <v>410</v>
      </c>
      <c r="G89" t="s">
        <v>92</v>
      </c>
      <c r="H89" t="s">
        <v>38</v>
      </c>
      <c r="I89" t="s">
        <v>99</v>
      </c>
      <c r="J89" t="s">
        <v>87</v>
      </c>
      <c r="K89" t="s">
        <v>411</v>
      </c>
      <c r="L89" t="s">
        <v>53</v>
      </c>
      <c r="M89" s="2">
        <v>3143.6497544613699</v>
      </c>
      <c r="N89" s="2">
        <v>346.68876925942601</v>
      </c>
      <c r="O89" t="s">
        <v>62</v>
      </c>
      <c r="P89">
        <v>4</v>
      </c>
      <c r="Q89" t="s">
        <v>95</v>
      </c>
      <c r="R89" t="s">
        <v>45</v>
      </c>
      <c r="S89" s="2">
        <v>-2.6012197444032398E-2</v>
      </c>
      <c r="T89" s="2">
        <v>29.9012679609346</v>
      </c>
      <c r="U89" t="str">
        <f>_xlfn.IFS(Table13[[#This Row],[Risk_Score]]&gt;80,"High",AND(Table13[[#This Row],[Risk_Score]]&lt;=80,Table13[[#This Row],[Risk_Score]]&gt;45),"Normal",Table13[[#This Row],[Risk_Score]]&lt;=45,"Low")</f>
        <v>Low</v>
      </c>
      <c r="V89" s="7">
        <f t="shared" si="1"/>
        <v>2796.9609852019398</v>
      </c>
    </row>
    <row r="90" spans="1:22">
      <c r="A90" t="s">
        <v>412</v>
      </c>
      <c r="B90" t="s">
        <v>253</v>
      </c>
      <c r="C90" t="s">
        <v>85</v>
      </c>
      <c r="D90" s="2">
        <v>26610.161123279398</v>
      </c>
      <c r="E90" s="4">
        <v>45711</v>
      </c>
      <c r="F90" t="s">
        <v>413</v>
      </c>
      <c r="G90" t="s">
        <v>50</v>
      </c>
      <c r="H90" t="s">
        <v>25</v>
      </c>
      <c r="I90" t="s">
        <v>51</v>
      </c>
      <c r="J90" t="s">
        <v>87</v>
      </c>
      <c r="K90" t="s">
        <v>414</v>
      </c>
      <c r="L90" t="s">
        <v>120</v>
      </c>
      <c r="M90" s="2">
        <v>2041.00748749321</v>
      </c>
      <c r="N90" s="2">
        <v>0</v>
      </c>
      <c r="O90" t="s">
        <v>43</v>
      </c>
      <c r="P90">
        <v>3</v>
      </c>
      <c r="Q90" t="s">
        <v>31</v>
      </c>
      <c r="R90" t="s">
        <v>32</v>
      </c>
      <c r="S90" s="2">
        <v>-21.915164092145599</v>
      </c>
      <c r="T90" s="2">
        <v>57.963245820181797</v>
      </c>
      <c r="U90" t="str">
        <f>_xlfn.IFS(Table13[[#This Row],[Risk_Score]]&gt;80,"High",AND(Table13[[#This Row],[Risk_Score]]&lt;=80,Table13[[#This Row],[Risk_Score]]&gt;45),"Normal",Table13[[#This Row],[Risk_Score]]&lt;=45,"Low")</f>
        <v>Normal</v>
      </c>
      <c r="V90" s="7">
        <f t="shared" si="1"/>
        <v>2041.00748749321</v>
      </c>
    </row>
    <row r="91" spans="1:22">
      <c r="A91" t="s">
        <v>415</v>
      </c>
      <c r="B91" t="s">
        <v>416</v>
      </c>
      <c r="C91" t="s">
        <v>48</v>
      </c>
      <c r="D91" s="2">
        <v>3452.0524557939302</v>
      </c>
      <c r="E91" s="4">
        <v>45712</v>
      </c>
      <c r="F91" t="s">
        <v>417</v>
      </c>
      <c r="G91" t="s">
        <v>92</v>
      </c>
      <c r="H91" t="s">
        <v>1762</v>
      </c>
      <c r="I91" t="s">
        <v>75</v>
      </c>
      <c r="J91" t="s">
        <v>87</v>
      </c>
      <c r="K91" t="s">
        <v>418</v>
      </c>
      <c r="L91" t="s">
        <v>53</v>
      </c>
      <c r="M91" s="2">
        <v>1701.62140863678</v>
      </c>
      <c r="N91" s="2">
        <v>0</v>
      </c>
      <c r="O91" t="s">
        <v>54</v>
      </c>
      <c r="P91">
        <v>4</v>
      </c>
      <c r="Q91" t="s">
        <v>44</v>
      </c>
      <c r="R91" t="s">
        <v>32</v>
      </c>
      <c r="S91" s="2">
        <v>0.21719627841608299</v>
      </c>
      <c r="T91" s="2">
        <v>25.955043327308299</v>
      </c>
      <c r="U91" t="str">
        <f>_xlfn.IFS(Table13[[#This Row],[Risk_Score]]&gt;80,"High",AND(Table13[[#This Row],[Risk_Score]]&lt;=80,Table13[[#This Row],[Risk_Score]]&gt;45),"Normal",Table13[[#This Row],[Risk_Score]]&lt;=45,"Low")</f>
        <v>Low</v>
      </c>
      <c r="V91" s="7">
        <f t="shared" si="1"/>
        <v>1701.62140863678</v>
      </c>
    </row>
    <row r="92" spans="1:22">
      <c r="A92" t="s">
        <v>419</v>
      </c>
      <c r="B92" t="s">
        <v>420</v>
      </c>
      <c r="C92" t="s">
        <v>85</v>
      </c>
      <c r="D92" s="2">
        <v>35951.017814744002</v>
      </c>
      <c r="E92" s="4">
        <v>45713</v>
      </c>
      <c r="F92" t="s">
        <v>421</v>
      </c>
      <c r="G92" t="s">
        <v>68</v>
      </c>
      <c r="H92" t="s">
        <v>38</v>
      </c>
      <c r="I92" t="s">
        <v>26</v>
      </c>
      <c r="J92" t="s">
        <v>60</v>
      </c>
      <c r="K92" t="s">
        <v>422</v>
      </c>
      <c r="L92" t="s">
        <v>29</v>
      </c>
      <c r="M92" s="2">
        <v>2791.4260311369399</v>
      </c>
      <c r="N92" s="2">
        <v>0</v>
      </c>
      <c r="O92" t="s">
        <v>62</v>
      </c>
      <c r="P92">
        <v>1</v>
      </c>
      <c r="Q92" t="s">
        <v>95</v>
      </c>
      <c r="R92" t="s">
        <v>32</v>
      </c>
      <c r="S92" s="2">
        <v>16.7731721277157</v>
      </c>
      <c r="T92" s="2">
        <v>67.419762286492997</v>
      </c>
      <c r="U92" t="str">
        <f>_xlfn.IFS(Table13[[#This Row],[Risk_Score]]&gt;80,"High",AND(Table13[[#This Row],[Risk_Score]]&lt;=80,Table13[[#This Row],[Risk_Score]]&gt;45),"Normal",Table13[[#This Row],[Risk_Score]]&lt;=45,"Low")</f>
        <v>Normal</v>
      </c>
      <c r="V92" s="7">
        <f t="shared" si="1"/>
        <v>2791.4260311369399</v>
      </c>
    </row>
    <row r="93" spans="1:22">
      <c r="A93" t="s">
        <v>423</v>
      </c>
      <c r="B93" t="s">
        <v>424</v>
      </c>
      <c r="C93" t="s">
        <v>22</v>
      </c>
      <c r="D93" s="2">
        <v>35837.335829174299</v>
      </c>
      <c r="E93" s="4">
        <v>45715</v>
      </c>
      <c r="F93" t="s">
        <v>425</v>
      </c>
      <c r="G93" t="s">
        <v>92</v>
      </c>
      <c r="H93" t="s">
        <v>25</v>
      </c>
      <c r="I93" t="s">
        <v>99</v>
      </c>
      <c r="J93" t="s">
        <v>87</v>
      </c>
      <c r="K93" t="s">
        <v>426</v>
      </c>
      <c r="L93" t="s">
        <v>155</v>
      </c>
      <c r="M93" s="2">
        <v>4764.9581089387602</v>
      </c>
      <c r="N93" s="2">
        <v>0</v>
      </c>
      <c r="O93" t="s">
        <v>43</v>
      </c>
      <c r="P93">
        <v>0</v>
      </c>
      <c r="Q93" t="s">
        <v>31</v>
      </c>
      <c r="R93" t="s">
        <v>32</v>
      </c>
      <c r="S93" s="2">
        <v>-18.296716665818199</v>
      </c>
      <c r="T93" s="2">
        <v>83.854920702479305</v>
      </c>
      <c r="U93" t="str">
        <f>_xlfn.IFS(Table13[[#This Row],[Risk_Score]]&gt;80,"High",AND(Table13[[#This Row],[Risk_Score]]&lt;=80,Table13[[#This Row],[Risk_Score]]&gt;45),"Normal",Table13[[#This Row],[Risk_Score]]&lt;=45,"Low")</f>
        <v>High</v>
      </c>
      <c r="V93" s="7">
        <f t="shared" si="1"/>
        <v>4764.9581089387602</v>
      </c>
    </row>
    <row r="94" spans="1:22">
      <c r="A94" t="s">
        <v>427</v>
      </c>
      <c r="B94" t="s">
        <v>428</v>
      </c>
      <c r="C94" t="s">
        <v>22</v>
      </c>
      <c r="D94" s="2">
        <v>11871.7111262945</v>
      </c>
      <c r="E94" s="4">
        <v>45715</v>
      </c>
      <c r="F94" t="s">
        <v>429</v>
      </c>
      <c r="G94" t="s">
        <v>141</v>
      </c>
      <c r="H94" t="s">
        <v>1762</v>
      </c>
      <c r="I94" t="s">
        <v>75</v>
      </c>
      <c r="J94" t="s">
        <v>87</v>
      </c>
      <c r="K94" t="s">
        <v>430</v>
      </c>
      <c r="L94" t="s">
        <v>81</v>
      </c>
      <c r="M94" s="2">
        <v>3120.1947036311099</v>
      </c>
      <c r="N94" s="2">
        <v>438.563780949251</v>
      </c>
      <c r="O94" t="s">
        <v>62</v>
      </c>
      <c r="P94">
        <v>1</v>
      </c>
      <c r="Q94" t="s">
        <v>55</v>
      </c>
      <c r="R94" t="s">
        <v>133</v>
      </c>
      <c r="S94" s="2">
        <v>-20.751148539820001</v>
      </c>
      <c r="T94" s="2">
        <v>18.293532128421301</v>
      </c>
      <c r="U94" t="str">
        <f>_xlfn.IFS(Table13[[#This Row],[Risk_Score]]&gt;80,"High",AND(Table13[[#This Row],[Risk_Score]]&lt;=80,Table13[[#This Row],[Risk_Score]]&gt;45),"Normal",Table13[[#This Row],[Risk_Score]]&lt;=45,"Low")</f>
        <v>Low</v>
      </c>
      <c r="V94" s="7">
        <f t="shared" si="1"/>
        <v>2681.6309226818598</v>
      </c>
    </row>
    <row r="95" spans="1:22">
      <c r="A95" t="s">
        <v>431</v>
      </c>
      <c r="B95" t="s">
        <v>432</v>
      </c>
      <c r="C95" t="s">
        <v>22</v>
      </c>
      <c r="D95" s="2">
        <v>47935.496147929698</v>
      </c>
      <c r="E95" s="4">
        <v>45716</v>
      </c>
      <c r="F95" t="s">
        <v>433</v>
      </c>
      <c r="G95" t="s">
        <v>92</v>
      </c>
      <c r="H95" t="s">
        <v>1762</v>
      </c>
      <c r="I95" t="s">
        <v>51</v>
      </c>
      <c r="J95" t="s">
        <v>60</v>
      </c>
      <c r="K95" t="s">
        <v>434</v>
      </c>
      <c r="L95" t="s">
        <v>155</v>
      </c>
      <c r="M95" s="2">
        <v>1662.8316908962699</v>
      </c>
      <c r="N95" s="2">
        <v>0</v>
      </c>
      <c r="O95" t="s">
        <v>43</v>
      </c>
      <c r="P95">
        <v>1</v>
      </c>
      <c r="Q95" t="s">
        <v>55</v>
      </c>
      <c r="R95" t="s">
        <v>133</v>
      </c>
      <c r="S95" s="2">
        <v>-0.70142143044929395</v>
      </c>
      <c r="T95" s="2">
        <v>40.154173800528199</v>
      </c>
      <c r="U95" t="str">
        <f>_xlfn.IFS(Table13[[#This Row],[Risk_Score]]&gt;80,"High",AND(Table13[[#This Row],[Risk_Score]]&lt;=80,Table13[[#This Row],[Risk_Score]]&gt;45),"Normal",Table13[[#This Row],[Risk_Score]]&lt;=45,"Low")</f>
        <v>Low</v>
      </c>
      <c r="V95" s="7">
        <f t="shared" si="1"/>
        <v>1662.8316908962699</v>
      </c>
    </row>
    <row r="96" spans="1:22">
      <c r="A96" t="s">
        <v>435</v>
      </c>
      <c r="B96" t="s">
        <v>436</v>
      </c>
      <c r="C96" t="s">
        <v>85</v>
      </c>
      <c r="D96" s="2">
        <v>46607.515678620999</v>
      </c>
      <c r="E96" s="4">
        <v>45716</v>
      </c>
      <c r="F96" t="s">
        <v>437</v>
      </c>
      <c r="G96" t="s">
        <v>24</v>
      </c>
      <c r="H96" t="s">
        <v>38</v>
      </c>
      <c r="I96" t="s">
        <v>99</v>
      </c>
      <c r="J96" t="s">
        <v>87</v>
      </c>
      <c r="K96" t="s">
        <v>438</v>
      </c>
      <c r="L96" t="s">
        <v>155</v>
      </c>
      <c r="M96" s="2">
        <v>3569.4547616515702</v>
      </c>
      <c r="N96" s="2">
        <v>0</v>
      </c>
      <c r="O96" t="s">
        <v>43</v>
      </c>
      <c r="P96">
        <v>2</v>
      </c>
      <c r="Q96" t="s">
        <v>55</v>
      </c>
      <c r="R96" t="s">
        <v>133</v>
      </c>
      <c r="S96" s="2">
        <v>-6.3032888387122696</v>
      </c>
      <c r="T96" s="2">
        <v>56.503252497595</v>
      </c>
      <c r="U96" t="str">
        <f>_xlfn.IFS(Table13[[#This Row],[Risk_Score]]&gt;80,"High",AND(Table13[[#This Row],[Risk_Score]]&lt;=80,Table13[[#This Row],[Risk_Score]]&gt;45),"Normal",Table13[[#This Row],[Risk_Score]]&lt;=45,"Low")</f>
        <v>Normal</v>
      </c>
      <c r="V96" s="7">
        <f t="shared" si="1"/>
        <v>3569.4547616515702</v>
      </c>
    </row>
    <row r="97" spans="1:22">
      <c r="A97" t="s">
        <v>439</v>
      </c>
      <c r="B97" t="s">
        <v>440</v>
      </c>
      <c r="C97" t="s">
        <v>22</v>
      </c>
      <c r="D97" s="2">
        <v>16571.9657141768</v>
      </c>
      <c r="E97" s="4">
        <v>45716</v>
      </c>
      <c r="F97" t="s">
        <v>441</v>
      </c>
      <c r="G97" t="s">
        <v>181</v>
      </c>
      <c r="H97" t="s">
        <v>38</v>
      </c>
      <c r="I97" t="s">
        <v>26</v>
      </c>
      <c r="J97" t="s">
        <v>87</v>
      </c>
      <c r="K97" t="s">
        <v>442</v>
      </c>
      <c r="L97" t="s">
        <v>81</v>
      </c>
      <c r="M97" s="2">
        <v>1570.37095811585</v>
      </c>
      <c r="N97" s="2">
        <v>383.12273638019002</v>
      </c>
      <c r="O97" t="s">
        <v>43</v>
      </c>
      <c r="P97">
        <v>0</v>
      </c>
      <c r="Q97" t="s">
        <v>1763</v>
      </c>
      <c r="R97" t="s">
        <v>32</v>
      </c>
      <c r="S97" s="2">
        <v>6.66140469251547</v>
      </c>
      <c r="T97" s="2">
        <v>67.122155634631795</v>
      </c>
      <c r="U97" t="str">
        <f>_xlfn.IFS(Table13[[#This Row],[Risk_Score]]&gt;80,"High",AND(Table13[[#This Row],[Risk_Score]]&lt;=80,Table13[[#This Row],[Risk_Score]]&gt;45),"Normal",Table13[[#This Row],[Risk_Score]]&lt;=45,"Low")</f>
        <v>Normal</v>
      </c>
      <c r="V97" s="7">
        <f t="shared" si="1"/>
        <v>1187.2482217356601</v>
      </c>
    </row>
    <row r="98" spans="1:22">
      <c r="A98" t="s">
        <v>443</v>
      </c>
      <c r="B98" t="s">
        <v>444</v>
      </c>
      <c r="C98" t="s">
        <v>35</v>
      </c>
      <c r="D98" s="2">
        <v>16100.0453887598</v>
      </c>
      <c r="E98" s="4">
        <v>45716</v>
      </c>
      <c r="F98" t="s">
        <v>445</v>
      </c>
      <c r="G98" t="s">
        <v>24</v>
      </c>
      <c r="H98" t="s">
        <v>25</v>
      </c>
      <c r="I98" t="s">
        <v>51</v>
      </c>
      <c r="J98" t="s">
        <v>60</v>
      </c>
      <c r="K98" t="s">
        <v>446</v>
      </c>
      <c r="L98" t="s">
        <v>81</v>
      </c>
      <c r="M98" s="2">
        <v>1210.77241448676</v>
      </c>
      <c r="N98" s="2">
        <v>0</v>
      </c>
      <c r="O98" t="s">
        <v>54</v>
      </c>
      <c r="P98">
        <v>2</v>
      </c>
      <c r="Q98" t="s">
        <v>31</v>
      </c>
      <c r="R98" t="s">
        <v>45</v>
      </c>
      <c r="S98" s="2">
        <v>-14.758138932060801</v>
      </c>
      <c r="T98" s="2">
        <v>66.9683972463272</v>
      </c>
      <c r="U98" t="str">
        <f>_xlfn.IFS(Table13[[#This Row],[Risk_Score]]&gt;80,"High",AND(Table13[[#This Row],[Risk_Score]]&lt;=80,Table13[[#This Row],[Risk_Score]]&gt;45),"Normal",Table13[[#This Row],[Risk_Score]]&lt;=45,"Low")</f>
        <v>Normal</v>
      </c>
      <c r="V98" s="7">
        <f t="shared" si="1"/>
        <v>1210.77241448676</v>
      </c>
    </row>
    <row r="99" spans="1:22">
      <c r="A99" t="s">
        <v>447</v>
      </c>
      <c r="B99" t="s">
        <v>319</v>
      </c>
      <c r="C99" t="s">
        <v>48</v>
      </c>
      <c r="D99" s="2">
        <v>21633.254342508499</v>
      </c>
      <c r="E99" s="4">
        <v>45717</v>
      </c>
      <c r="F99" t="s">
        <v>448</v>
      </c>
      <c r="G99" t="s">
        <v>92</v>
      </c>
      <c r="H99" t="s">
        <v>38</v>
      </c>
      <c r="I99" t="s">
        <v>26</v>
      </c>
      <c r="J99" t="s">
        <v>87</v>
      </c>
      <c r="K99" t="s">
        <v>449</v>
      </c>
      <c r="L99" t="s">
        <v>42</v>
      </c>
      <c r="M99" s="2">
        <v>1729.6480364957699</v>
      </c>
      <c r="N99" s="2">
        <v>323.20368761404399</v>
      </c>
      <c r="O99" t="s">
        <v>62</v>
      </c>
      <c r="P99">
        <v>1</v>
      </c>
      <c r="Q99" t="s">
        <v>44</v>
      </c>
      <c r="R99" t="s">
        <v>133</v>
      </c>
      <c r="S99" s="2">
        <v>12.834056003795901</v>
      </c>
      <c r="T99" s="2">
        <v>24.761708717471901</v>
      </c>
      <c r="U99" t="str">
        <f>_xlfn.IFS(Table13[[#This Row],[Risk_Score]]&gt;80,"High",AND(Table13[[#This Row],[Risk_Score]]&lt;=80,Table13[[#This Row],[Risk_Score]]&gt;45),"Normal",Table13[[#This Row],[Risk_Score]]&lt;=45,"Low")</f>
        <v>Low</v>
      </c>
      <c r="V99" s="7">
        <f t="shared" si="1"/>
        <v>1406.4443488817301</v>
      </c>
    </row>
    <row r="100" spans="1:22">
      <c r="A100" t="s">
        <v>450</v>
      </c>
      <c r="B100" t="s">
        <v>451</v>
      </c>
      <c r="C100" t="s">
        <v>48</v>
      </c>
      <c r="D100" s="2">
        <v>5801.9382727788197</v>
      </c>
      <c r="E100" s="4">
        <v>45717</v>
      </c>
      <c r="F100" t="s">
        <v>452</v>
      </c>
      <c r="G100" t="s">
        <v>181</v>
      </c>
      <c r="H100" t="s">
        <v>1762</v>
      </c>
      <c r="I100" t="s">
        <v>99</v>
      </c>
      <c r="J100" t="s">
        <v>87</v>
      </c>
      <c r="K100" t="s">
        <v>453</v>
      </c>
      <c r="L100" t="s">
        <v>29</v>
      </c>
      <c r="M100" s="2">
        <v>2831.22575955712</v>
      </c>
      <c r="N100" s="2">
        <v>0</v>
      </c>
      <c r="O100" t="s">
        <v>62</v>
      </c>
      <c r="P100">
        <v>2</v>
      </c>
      <c r="Q100" t="s">
        <v>31</v>
      </c>
      <c r="R100" t="s">
        <v>32</v>
      </c>
      <c r="S100" s="2">
        <v>11.006069223235</v>
      </c>
      <c r="T100" s="2">
        <v>38.863229039883898</v>
      </c>
      <c r="U100" t="str">
        <f>_xlfn.IFS(Table13[[#This Row],[Risk_Score]]&gt;80,"High",AND(Table13[[#This Row],[Risk_Score]]&lt;=80,Table13[[#This Row],[Risk_Score]]&gt;45),"Normal",Table13[[#This Row],[Risk_Score]]&lt;=45,"Low")</f>
        <v>Low</v>
      </c>
      <c r="V100" s="7">
        <f t="shared" si="1"/>
        <v>2831.22575955712</v>
      </c>
    </row>
    <row r="101" spans="1:22">
      <c r="A101" t="s">
        <v>454</v>
      </c>
      <c r="B101" t="s">
        <v>455</v>
      </c>
      <c r="C101" t="s">
        <v>85</v>
      </c>
      <c r="D101" s="2">
        <v>43728.448482235399</v>
      </c>
      <c r="E101" s="4">
        <v>45718</v>
      </c>
      <c r="F101" t="s">
        <v>456</v>
      </c>
      <c r="G101" t="s">
        <v>172</v>
      </c>
      <c r="H101" t="s">
        <v>25</v>
      </c>
      <c r="I101" t="s">
        <v>51</v>
      </c>
      <c r="J101" t="s">
        <v>60</v>
      </c>
      <c r="K101" t="s">
        <v>457</v>
      </c>
      <c r="L101" t="s">
        <v>42</v>
      </c>
      <c r="M101" s="2">
        <v>467.06411821895801</v>
      </c>
      <c r="N101" s="2">
        <v>350.78263280147098</v>
      </c>
      <c r="O101" t="s">
        <v>54</v>
      </c>
      <c r="P101">
        <v>2</v>
      </c>
      <c r="Q101" t="s">
        <v>95</v>
      </c>
      <c r="R101" t="s">
        <v>32</v>
      </c>
      <c r="S101" s="2">
        <v>9.3377647268590493</v>
      </c>
      <c r="T101" s="2">
        <v>2.00527097840085</v>
      </c>
      <c r="U101" t="str">
        <f>_xlfn.IFS(Table13[[#This Row],[Risk_Score]]&gt;80,"High",AND(Table13[[#This Row],[Risk_Score]]&lt;=80,Table13[[#This Row],[Risk_Score]]&gt;45),"Normal",Table13[[#This Row],[Risk_Score]]&lt;=45,"Low")</f>
        <v>Low</v>
      </c>
      <c r="V101" s="7">
        <f t="shared" si="1"/>
        <v>116.281485417487</v>
      </c>
    </row>
    <row r="102" spans="1:22">
      <c r="A102" t="s">
        <v>458</v>
      </c>
      <c r="B102" t="s">
        <v>459</v>
      </c>
      <c r="C102" t="s">
        <v>48</v>
      </c>
      <c r="D102" s="2">
        <v>1620.5604214063501</v>
      </c>
      <c r="E102" s="4">
        <v>45718</v>
      </c>
      <c r="F102" t="s">
        <v>460</v>
      </c>
      <c r="G102" t="s">
        <v>59</v>
      </c>
      <c r="H102" t="s">
        <v>25</v>
      </c>
      <c r="I102" t="s">
        <v>51</v>
      </c>
      <c r="J102" t="s">
        <v>87</v>
      </c>
      <c r="K102" t="s">
        <v>461</v>
      </c>
      <c r="L102" t="s">
        <v>29</v>
      </c>
      <c r="M102" s="2">
        <v>1566.18993459331</v>
      </c>
      <c r="N102" s="2">
        <v>0</v>
      </c>
      <c r="O102" t="s">
        <v>43</v>
      </c>
      <c r="P102">
        <v>4</v>
      </c>
      <c r="Q102" t="s">
        <v>63</v>
      </c>
      <c r="R102" t="s">
        <v>32</v>
      </c>
      <c r="S102" s="2">
        <v>24.871569228123398</v>
      </c>
      <c r="T102" s="2">
        <v>56.952127868203299</v>
      </c>
      <c r="U102" t="str">
        <f>_xlfn.IFS(Table13[[#This Row],[Risk_Score]]&gt;80,"High",AND(Table13[[#This Row],[Risk_Score]]&lt;=80,Table13[[#This Row],[Risk_Score]]&gt;45),"Normal",Table13[[#This Row],[Risk_Score]]&lt;=45,"Low")</f>
        <v>Normal</v>
      </c>
      <c r="V102" s="7">
        <f t="shared" si="1"/>
        <v>1566.18993459331</v>
      </c>
    </row>
    <row r="103" spans="1:22">
      <c r="A103" t="s">
        <v>462</v>
      </c>
      <c r="B103" t="s">
        <v>463</v>
      </c>
      <c r="C103" t="s">
        <v>35</v>
      </c>
      <c r="D103" s="2">
        <v>19918.4752419537</v>
      </c>
      <c r="E103" s="4">
        <v>45719</v>
      </c>
      <c r="F103" t="s">
        <v>464</v>
      </c>
      <c r="G103" t="s">
        <v>163</v>
      </c>
      <c r="H103" t="s">
        <v>38</v>
      </c>
      <c r="I103" t="s">
        <v>99</v>
      </c>
      <c r="J103" t="s">
        <v>87</v>
      </c>
      <c r="K103" t="s">
        <v>465</v>
      </c>
      <c r="L103" t="s">
        <v>120</v>
      </c>
      <c r="M103" s="2">
        <v>1781.49050594758</v>
      </c>
      <c r="N103" s="2">
        <v>0</v>
      </c>
      <c r="O103" t="s">
        <v>54</v>
      </c>
      <c r="P103">
        <v>1</v>
      </c>
      <c r="Q103" t="s">
        <v>31</v>
      </c>
      <c r="R103" t="s">
        <v>133</v>
      </c>
      <c r="S103" s="2">
        <v>15.4529035880023</v>
      </c>
      <c r="T103" s="2">
        <v>88.247019494313506</v>
      </c>
      <c r="U103" t="str">
        <f>_xlfn.IFS(Table13[[#This Row],[Risk_Score]]&gt;80,"High",AND(Table13[[#This Row],[Risk_Score]]&lt;=80,Table13[[#This Row],[Risk_Score]]&gt;45),"Normal",Table13[[#This Row],[Risk_Score]]&lt;=45,"Low")</f>
        <v>High</v>
      </c>
      <c r="V103" s="7">
        <f t="shared" si="1"/>
        <v>1781.49050594758</v>
      </c>
    </row>
    <row r="104" spans="1:22">
      <c r="A104" t="s">
        <v>466</v>
      </c>
      <c r="B104" t="s">
        <v>277</v>
      </c>
      <c r="C104" t="s">
        <v>35</v>
      </c>
      <c r="D104" s="2">
        <v>17446.1988026859</v>
      </c>
      <c r="E104" s="4">
        <v>45719</v>
      </c>
      <c r="F104" t="s">
        <v>467</v>
      </c>
      <c r="G104" t="s">
        <v>50</v>
      </c>
      <c r="H104" t="s">
        <v>25</v>
      </c>
      <c r="I104" t="s">
        <v>75</v>
      </c>
      <c r="J104" t="s">
        <v>87</v>
      </c>
      <c r="K104" t="s">
        <v>468</v>
      </c>
      <c r="L104" t="s">
        <v>120</v>
      </c>
      <c r="M104" s="2">
        <v>4026.0622780907902</v>
      </c>
      <c r="N104" s="2">
        <v>0</v>
      </c>
      <c r="O104" t="s">
        <v>43</v>
      </c>
      <c r="P104">
        <v>1</v>
      </c>
      <c r="Q104" t="s">
        <v>95</v>
      </c>
      <c r="R104" t="s">
        <v>133</v>
      </c>
      <c r="S104" s="2">
        <v>13.855682155982</v>
      </c>
      <c r="T104" s="2">
        <v>72.128726897382705</v>
      </c>
      <c r="U104" t="str">
        <f>_xlfn.IFS(Table13[[#This Row],[Risk_Score]]&gt;80,"High",AND(Table13[[#This Row],[Risk_Score]]&lt;=80,Table13[[#This Row],[Risk_Score]]&gt;45),"Normal",Table13[[#This Row],[Risk_Score]]&lt;=45,"Low")</f>
        <v>Normal</v>
      </c>
      <c r="V104" s="7">
        <f t="shared" si="1"/>
        <v>4026.0622780907902</v>
      </c>
    </row>
    <row r="105" spans="1:22">
      <c r="A105" t="s">
        <v>469</v>
      </c>
      <c r="B105" t="s">
        <v>312</v>
      </c>
      <c r="C105" t="s">
        <v>48</v>
      </c>
      <c r="D105" s="2">
        <v>34420.457383094501</v>
      </c>
      <c r="E105" s="4">
        <v>45720</v>
      </c>
      <c r="F105" t="s">
        <v>470</v>
      </c>
      <c r="G105" t="s">
        <v>24</v>
      </c>
      <c r="H105" t="s">
        <v>38</v>
      </c>
      <c r="I105" t="s">
        <v>99</v>
      </c>
      <c r="J105" t="s">
        <v>60</v>
      </c>
      <c r="K105" t="s">
        <v>471</v>
      </c>
      <c r="L105" t="s">
        <v>155</v>
      </c>
      <c r="M105" s="2">
        <v>486.35318277638999</v>
      </c>
      <c r="N105" s="2">
        <v>0</v>
      </c>
      <c r="O105" t="s">
        <v>54</v>
      </c>
      <c r="P105">
        <v>2</v>
      </c>
      <c r="Q105" t="s">
        <v>55</v>
      </c>
      <c r="R105" t="s">
        <v>45</v>
      </c>
      <c r="S105" s="2">
        <v>-13.4443021229962</v>
      </c>
      <c r="T105" s="2">
        <v>41.516358660410397</v>
      </c>
      <c r="U105" t="str">
        <f>_xlfn.IFS(Table13[[#This Row],[Risk_Score]]&gt;80,"High",AND(Table13[[#This Row],[Risk_Score]]&lt;=80,Table13[[#This Row],[Risk_Score]]&gt;45),"Normal",Table13[[#This Row],[Risk_Score]]&lt;=45,"Low")</f>
        <v>Low</v>
      </c>
      <c r="V105" s="7">
        <f t="shared" si="1"/>
        <v>486.35318277638999</v>
      </c>
    </row>
    <row r="106" spans="1:22">
      <c r="A106" t="s">
        <v>472</v>
      </c>
      <c r="B106" t="s">
        <v>473</v>
      </c>
      <c r="C106" t="s">
        <v>22</v>
      </c>
      <c r="D106" s="2">
        <v>40009.122901506104</v>
      </c>
      <c r="E106" s="4">
        <v>45721</v>
      </c>
      <c r="F106" t="s">
        <v>474</v>
      </c>
      <c r="G106" t="s">
        <v>59</v>
      </c>
      <c r="H106" t="s">
        <v>25</v>
      </c>
      <c r="I106" t="s">
        <v>99</v>
      </c>
      <c r="J106" t="s">
        <v>87</v>
      </c>
      <c r="K106" t="s">
        <v>475</v>
      </c>
      <c r="L106" t="s">
        <v>42</v>
      </c>
      <c r="M106" s="2">
        <v>481.00246760767499</v>
      </c>
      <c r="N106" s="2">
        <v>0</v>
      </c>
      <c r="O106" t="s">
        <v>43</v>
      </c>
      <c r="P106">
        <v>1</v>
      </c>
      <c r="Q106" t="s">
        <v>63</v>
      </c>
      <c r="R106" t="s">
        <v>133</v>
      </c>
      <c r="S106" s="2">
        <v>-25.7291858209148</v>
      </c>
      <c r="T106" s="2">
        <v>8.7575573416174706</v>
      </c>
      <c r="U106" t="str">
        <f>_xlfn.IFS(Table13[[#This Row],[Risk_Score]]&gt;80,"High",AND(Table13[[#This Row],[Risk_Score]]&lt;=80,Table13[[#This Row],[Risk_Score]]&gt;45),"Normal",Table13[[#This Row],[Risk_Score]]&lt;=45,"Low")</f>
        <v>Low</v>
      </c>
      <c r="V106" s="7">
        <f t="shared" si="1"/>
        <v>481.00246760767499</v>
      </c>
    </row>
    <row r="107" spans="1:22">
      <c r="A107" t="s">
        <v>476</v>
      </c>
      <c r="B107" t="s">
        <v>477</v>
      </c>
      <c r="C107" t="s">
        <v>48</v>
      </c>
      <c r="D107" s="2">
        <v>38468.995291638297</v>
      </c>
      <c r="E107" s="4">
        <v>45722</v>
      </c>
      <c r="F107" t="s">
        <v>478</v>
      </c>
      <c r="G107" t="s">
        <v>68</v>
      </c>
      <c r="H107" t="s">
        <v>38</v>
      </c>
      <c r="I107" t="s">
        <v>75</v>
      </c>
      <c r="J107" t="s">
        <v>87</v>
      </c>
      <c r="K107" t="s">
        <v>479</v>
      </c>
      <c r="L107" t="s">
        <v>81</v>
      </c>
      <c r="M107" s="2">
        <v>4363.0104738719201</v>
      </c>
      <c r="N107" s="2">
        <v>429.16146943942903</v>
      </c>
      <c r="O107" t="s">
        <v>62</v>
      </c>
      <c r="P107">
        <v>0</v>
      </c>
      <c r="Q107" t="s">
        <v>95</v>
      </c>
      <c r="R107" t="s">
        <v>45</v>
      </c>
      <c r="S107" s="2">
        <v>-29.695271221456402</v>
      </c>
      <c r="T107" s="2">
        <v>88.278169962649699</v>
      </c>
      <c r="U107" t="str">
        <f>_xlfn.IFS(Table13[[#This Row],[Risk_Score]]&gt;80,"High",AND(Table13[[#This Row],[Risk_Score]]&lt;=80,Table13[[#This Row],[Risk_Score]]&gt;45),"Normal",Table13[[#This Row],[Risk_Score]]&lt;=45,"Low")</f>
        <v>High</v>
      </c>
      <c r="V107" s="7">
        <f t="shared" si="1"/>
        <v>3933.8490044324899</v>
      </c>
    </row>
    <row r="108" spans="1:22">
      <c r="A108" t="s">
        <v>480</v>
      </c>
      <c r="B108" t="s">
        <v>223</v>
      </c>
      <c r="C108" t="s">
        <v>1763</v>
      </c>
      <c r="D108" s="2">
        <v>29954.474307580898</v>
      </c>
      <c r="E108" s="4">
        <v>45723</v>
      </c>
      <c r="F108" t="s">
        <v>481</v>
      </c>
      <c r="G108" t="s">
        <v>92</v>
      </c>
      <c r="H108" t="s">
        <v>25</v>
      </c>
      <c r="I108" t="s">
        <v>26</v>
      </c>
      <c r="J108" t="s">
        <v>60</v>
      </c>
      <c r="K108" t="s">
        <v>482</v>
      </c>
      <c r="L108" t="s">
        <v>29</v>
      </c>
      <c r="M108" s="2">
        <v>4117.1257704058298</v>
      </c>
      <c r="N108" s="2">
        <v>0</v>
      </c>
      <c r="O108" t="s">
        <v>62</v>
      </c>
      <c r="P108">
        <v>1</v>
      </c>
      <c r="Q108" t="s">
        <v>31</v>
      </c>
      <c r="R108" t="s">
        <v>32</v>
      </c>
      <c r="S108" s="2">
        <v>-4.9255509722754303</v>
      </c>
      <c r="T108" s="2">
        <v>88.7859349735553</v>
      </c>
      <c r="U108" t="str">
        <f>_xlfn.IFS(Table13[[#This Row],[Risk_Score]]&gt;80,"High",AND(Table13[[#This Row],[Risk_Score]]&lt;=80,Table13[[#This Row],[Risk_Score]]&gt;45),"Normal",Table13[[#This Row],[Risk_Score]]&lt;=45,"Low")</f>
        <v>High</v>
      </c>
      <c r="V108" s="7">
        <f t="shared" si="1"/>
        <v>4117.1257704058298</v>
      </c>
    </row>
    <row r="109" spans="1:22">
      <c r="A109" t="s">
        <v>483</v>
      </c>
      <c r="B109" t="s">
        <v>334</v>
      </c>
      <c r="C109" t="s">
        <v>22</v>
      </c>
      <c r="D109" s="2">
        <v>23751.100077384799</v>
      </c>
      <c r="E109" s="4">
        <v>45725</v>
      </c>
      <c r="F109" t="s">
        <v>484</v>
      </c>
      <c r="G109" t="s">
        <v>59</v>
      </c>
      <c r="H109" t="s">
        <v>38</v>
      </c>
      <c r="I109" t="s">
        <v>51</v>
      </c>
      <c r="J109" t="s">
        <v>87</v>
      </c>
      <c r="K109" t="s">
        <v>485</v>
      </c>
      <c r="L109" t="s">
        <v>53</v>
      </c>
      <c r="M109" s="2">
        <v>4561.9978930359603</v>
      </c>
      <c r="N109" s="2">
        <v>0</v>
      </c>
      <c r="O109" t="s">
        <v>43</v>
      </c>
      <c r="P109">
        <v>4</v>
      </c>
      <c r="Q109" t="s">
        <v>95</v>
      </c>
      <c r="R109" t="s">
        <v>32</v>
      </c>
      <c r="S109" s="2">
        <v>-25.0357017907757</v>
      </c>
      <c r="T109" s="2">
        <v>56.039895381994299</v>
      </c>
      <c r="U109" t="str">
        <f>_xlfn.IFS(Table13[[#This Row],[Risk_Score]]&gt;80,"High",AND(Table13[[#This Row],[Risk_Score]]&lt;=80,Table13[[#This Row],[Risk_Score]]&gt;45),"Normal",Table13[[#This Row],[Risk_Score]]&lt;=45,"Low")</f>
        <v>Normal</v>
      </c>
      <c r="V109" s="7">
        <f t="shared" si="1"/>
        <v>4561.9978930359603</v>
      </c>
    </row>
    <row r="110" spans="1:22">
      <c r="A110" t="s">
        <v>486</v>
      </c>
      <c r="B110" t="s">
        <v>234</v>
      </c>
      <c r="C110" t="s">
        <v>35</v>
      </c>
      <c r="D110" s="2">
        <v>31286.3017538475</v>
      </c>
      <c r="E110" s="4">
        <v>45729</v>
      </c>
      <c r="F110" t="s">
        <v>487</v>
      </c>
      <c r="G110" t="s">
        <v>59</v>
      </c>
      <c r="H110" t="s">
        <v>38</v>
      </c>
      <c r="I110" t="s">
        <v>51</v>
      </c>
      <c r="J110" t="s">
        <v>60</v>
      </c>
      <c r="K110" t="s">
        <v>488</v>
      </c>
      <c r="L110" t="s">
        <v>81</v>
      </c>
      <c r="M110" s="2">
        <v>1074.93256274601</v>
      </c>
      <c r="N110" s="2">
        <v>0</v>
      </c>
      <c r="O110" t="s">
        <v>54</v>
      </c>
      <c r="P110">
        <v>3</v>
      </c>
      <c r="Q110" t="s">
        <v>55</v>
      </c>
      <c r="R110" t="s">
        <v>45</v>
      </c>
      <c r="S110" s="2">
        <v>-8.6524123307404199</v>
      </c>
      <c r="T110" s="2">
        <v>73.244145913044903</v>
      </c>
      <c r="U110" t="str">
        <f>_xlfn.IFS(Table13[[#This Row],[Risk_Score]]&gt;80,"High",AND(Table13[[#This Row],[Risk_Score]]&lt;=80,Table13[[#This Row],[Risk_Score]]&gt;45),"Normal",Table13[[#This Row],[Risk_Score]]&lt;=45,"Low")</f>
        <v>Normal</v>
      </c>
      <c r="V110" s="7">
        <f t="shared" si="1"/>
        <v>1074.93256274601</v>
      </c>
    </row>
    <row r="111" spans="1:22">
      <c r="A111" t="s">
        <v>489</v>
      </c>
      <c r="B111" t="s">
        <v>490</v>
      </c>
      <c r="C111" t="s">
        <v>35</v>
      </c>
      <c r="D111" s="2">
        <v>16146.9799575334</v>
      </c>
      <c r="E111" s="4">
        <v>45729</v>
      </c>
      <c r="F111" t="s">
        <v>491</v>
      </c>
      <c r="G111" t="s">
        <v>59</v>
      </c>
      <c r="H111" t="s">
        <v>1762</v>
      </c>
      <c r="I111" t="s">
        <v>26</v>
      </c>
      <c r="J111" t="s">
        <v>87</v>
      </c>
      <c r="K111" t="s">
        <v>492</v>
      </c>
      <c r="L111" t="s">
        <v>155</v>
      </c>
      <c r="M111" s="2">
        <v>4305.4139461476498</v>
      </c>
      <c r="N111" s="2">
        <v>0</v>
      </c>
      <c r="O111" t="s">
        <v>54</v>
      </c>
      <c r="P111">
        <v>2</v>
      </c>
      <c r="Q111" t="s">
        <v>63</v>
      </c>
      <c r="R111" t="s">
        <v>32</v>
      </c>
      <c r="S111" s="2">
        <v>7.4515243737762198</v>
      </c>
      <c r="T111" s="2">
        <v>3.1445955058947499</v>
      </c>
      <c r="U111" t="str">
        <f>_xlfn.IFS(Table13[[#This Row],[Risk_Score]]&gt;80,"High",AND(Table13[[#This Row],[Risk_Score]]&lt;=80,Table13[[#This Row],[Risk_Score]]&gt;45),"Normal",Table13[[#This Row],[Risk_Score]]&lt;=45,"Low")</f>
        <v>Low</v>
      </c>
      <c r="V111" s="7">
        <f t="shared" si="1"/>
        <v>4305.4139461476498</v>
      </c>
    </row>
    <row r="112" spans="1:22">
      <c r="A112" t="s">
        <v>493</v>
      </c>
      <c r="B112" t="s">
        <v>372</v>
      </c>
      <c r="C112" t="s">
        <v>35</v>
      </c>
      <c r="D112" s="2">
        <v>21396.7663763038</v>
      </c>
      <c r="E112" s="4">
        <v>45729</v>
      </c>
      <c r="F112" t="s">
        <v>494</v>
      </c>
      <c r="G112" t="s">
        <v>172</v>
      </c>
      <c r="H112" t="s">
        <v>1762</v>
      </c>
      <c r="I112" t="s">
        <v>75</v>
      </c>
      <c r="J112" t="s">
        <v>87</v>
      </c>
      <c r="K112" t="s">
        <v>495</v>
      </c>
      <c r="L112" t="s">
        <v>53</v>
      </c>
      <c r="M112" s="2">
        <v>1833.95049826785</v>
      </c>
      <c r="N112" s="2">
        <v>355.17575035616602</v>
      </c>
      <c r="O112" t="s">
        <v>43</v>
      </c>
      <c r="P112">
        <v>1</v>
      </c>
      <c r="Q112" t="s">
        <v>31</v>
      </c>
      <c r="R112" t="s">
        <v>32</v>
      </c>
      <c r="S112" s="2">
        <v>-10.035950760968699</v>
      </c>
      <c r="T112" s="2">
        <v>81.108724620025797</v>
      </c>
      <c r="U112" t="str">
        <f>_xlfn.IFS(Table13[[#This Row],[Risk_Score]]&gt;80,"High",AND(Table13[[#This Row],[Risk_Score]]&lt;=80,Table13[[#This Row],[Risk_Score]]&gt;45),"Normal",Table13[[#This Row],[Risk_Score]]&lt;=45,"Low")</f>
        <v>High</v>
      </c>
      <c r="V112" s="7">
        <f t="shared" si="1"/>
        <v>1478.7747479116799</v>
      </c>
    </row>
    <row r="113" spans="1:22">
      <c r="A113" t="s">
        <v>496</v>
      </c>
      <c r="B113" t="s">
        <v>497</v>
      </c>
      <c r="C113" t="s">
        <v>22</v>
      </c>
      <c r="D113" s="2">
        <v>30225.7044333339</v>
      </c>
      <c r="E113" s="4">
        <v>45729</v>
      </c>
      <c r="F113" t="s">
        <v>498</v>
      </c>
      <c r="G113" t="s">
        <v>172</v>
      </c>
      <c r="H113" t="s">
        <v>1762</v>
      </c>
      <c r="I113" t="s">
        <v>75</v>
      </c>
      <c r="J113" t="s">
        <v>60</v>
      </c>
      <c r="K113" t="s">
        <v>499</v>
      </c>
      <c r="L113" t="s">
        <v>29</v>
      </c>
      <c r="M113" s="2">
        <v>4110.6042363286497</v>
      </c>
      <c r="N113" s="2">
        <v>414.09293466172602</v>
      </c>
      <c r="O113" t="s">
        <v>54</v>
      </c>
      <c r="P113">
        <v>0</v>
      </c>
      <c r="Q113" t="s">
        <v>31</v>
      </c>
      <c r="R113" t="s">
        <v>45</v>
      </c>
      <c r="S113" s="2">
        <v>-14.9407676210358</v>
      </c>
      <c r="T113" s="2">
        <v>22.427341824190499</v>
      </c>
      <c r="U113" t="str">
        <f>_xlfn.IFS(Table13[[#This Row],[Risk_Score]]&gt;80,"High",AND(Table13[[#This Row],[Risk_Score]]&lt;=80,Table13[[#This Row],[Risk_Score]]&gt;45),"Normal",Table13[[#This Row],[Risk_Score]]&lt;=45,"Low")</f>
        <v>Low</v>
      </c>
      <c r="V113" s="7">
        <f t="shared" si="1"/>
        <v>3696.5113016669202</v>
      </c>
    </row>
    <row r="114" spans="1:22">
      <c r="A114" t="s">
        <v>500</v>
      </c>
      <c r="B114" t="s">
        <v>501</v>
      </c>
      <c r="C114" t="s">
        <v>22</v>
      </c>
      <c r="D114" s="2">
        <v>16859.706271776799</v>
      </c>
      <c r="E114" s="4">
        <v>45730</v>
      </c>
      <c r="F114" t="s">
        <v>502</v>
      </c>
      <c r="G114" t="s">
        <v>68</v>
      </c>
      <c r="H114" t="s">
        <v>38</v>
      </c>
      <c r="I114" t="s">
        <v>26</v>
      </c>
      <c r="J114" t="s">
        <v>87</v>
      </c>
      <c r="K114" t="s">
        <v>503</v>
      </c>
      <c r="L114" t="s">
        <v>42</v>
      </c>
      <c r="M114" s="2">
        <v>253.28745531250701</v>
      </c>
      <c r="N114" s="2">
        <v>0</v>
      </c>
      <c r="O114" t="s">
        <v>43</v>
      </c>
      <c r="P114">
        <v>0</v>
      </c>
      <c r="Q114" t="s">
        <v>55</v>
      </c>
      <c r="R114" t="s">
        <v>32</v>
      </c>
      <c r="S114" s="2">
        <v>24.0868097723028</v>
      </c>
      <c r="T114" s="2">
        <v>89.789810477425206</v>
      </c>
      <c r="U114" t="str">
        <f>_xlfn.IFS(Table13[[#This Row],[Risk_Score]]&gt;80,"High",AND(Table13[[#This Row],[Risk_Score]]&lt;=80,Table13[[#This Row],[Risk_Score]]&gt;45),"Normal",Table13[[#This Row],[Risk_Score]]&lt;=45,"Low")</f>
        <v>High</v>
      </c>
      <c r="V114" s="7">
        <f t="shared" si="1"/>
        <v>253.28745531250701</v>
      </c>
    </row>
    <row r="115" spans="1:22">
      <c r="A115" t="s">
        <v>504</v>
      </c>
      <c r="B115" t="s">
        <v>505</v>
      </c>
      <c r="C115" t="s">
        <v>48</v>
      </c>
      <c r="D115" s="2">
        <v>29279.828686862798</v>
      </c>
      <c r="E115" s="4">
        <v>45730</v>
      </c>
      <c r="F115" t="s">
        <v>506</v>
      </c>
      <c r="G115" t="s">
        <v>68</v>
      </c>
      <c r="H115" t="s">
        <v>38</v>
      </c>
      <c r="I115" t="s">
        <v>75</v>
      </c>
      <c r="J115" t="s">
        <v>87</v>
      </c>
      <c r="K115" t="s">
        <v>507</v>
      </c>
      <c r="L115" t="s">
        <v>120</v>
      </c>
      <c r="M115" s="2">
        <v>1255.6770730299299</v>
      </c>
      <c r="N115" s="2">
        <v>343.61717173034202</v>
      </c>
      <c r="O115" t="s">
        <v>62</v>
      </c>
      <c r="P115">
        <v>0</v>
      </c>
      <c r="Q115" t="s">
        <v>44</v>
      </c>
      <c r="R115" t="s">
        <v>32</v>
      </c>
      <c r="S115" s="2">
        <v>7.4375705659208604</v>
      </c>
      <c r="T115" s="2">
        <v>75.596584893124799</v>
      </c>
      <c r="U115" t="str">
        <f>_xlfn.IFS(Table13[[#This Row],[Risk_Score]]&gt;80,"High",AND(Table13[[#This Row],[Risk_Score]]&lt;=80,Table13[[#This Row],[Risk_Score]]&gt;45),"Normal",Table13[[#This Row],[Risk_Score]]&lt;=45,"Low")</f>
        <v>Normal</v>
      </c>
      <c r="V115" s="7">
        <f t="shared" si="1"/>
        <v>912.05990129958798</v>
      </c>
    </row>
    <row r="116" spans="1:22">
      <c r="A116" t="s">
        <v>508</v>
      </c>
      <c r="B116" t="s">
        <v>349</v>
      </c>
      <c r="C116" t="s">
        <v>48</v>
      </c>
      <c r="D116" s="2">
        <v>26639.688236439899</v>
      </c>
      <c r="E116" s="4">
        <v>45731</v>
      </c>
      <c r="F116" t="s">
        <v>509</v>
      </c>
      <c r="G116" t="s">
        <v>163</v>
      </c>
      <c r="H116" t="s">
        <v>25</v>
      </c>
      <c r="I116" t="s">
        <v>51</v>
      </c>
      <c r="J116" t="s">
        <v>60</v>
      </c>
      <c r="K116" t="s">
        <v>510</v>
      </c>
      <c r="L116" t="s">
        <v>53</v>
      </c>
      <c r="M116" s="2">
        <v>4048.9349461357101</v>
      </c>
      <c r="N116" s="2">
        <v>0</v>
      </c>
      <c r="O116" t="s">
        <v>62</v>
      </c>
      <c r="P116">
        <v>2</v>
      </c>
      <c r="Q116" t="s">
        <v>63</v>
      </c>
      <c r="R116" t="s">
        <v>32</v>
      </c>
      <c r="S116" s="2">
        <v>-7.5875822211422701</v>
      </c>
      <c r="T116" s="2">
        <v>67.054050650609099</v>
      </c>
      <c r="U116" t="str">
        <f>_xlfn.IFS(Table13[[#This Row],[Risk_Score]]&gt;80,"High",AND(Table13[[#This Row],[Risk_Score]]&lt;=80,Table13[[#This Row],[Risk_Score]]&gt;45),"Normal",Table13[[#This Row],[Risk_Score]]&lt;=45,"Low")</f>
        <v>Normal</v>
      </c>
      <c r="V116" s="7">
        <f t="shared" si="1"/>
        <v>4048.9349461357101</v>
      </c>
    </row>
    <row r="117" spans="1:22">
      <c r="A117" t="s">
        <v>511</v>
      </c>
      <c r="B117" t="s">
        <v>455</v>
      </c>
      <c r="C117" t="s">
        <v>48</v>
      </c>
      <c r="D117" s="2">
        <v>7041.8980877387903</v>
      </c>
      <c r="E117" s="4">
        <v>45732</v>
      </c>
      <c r="F117" t="s">
        <v>512</v>
      </c>
      <c r="G117" t="s">
        <v>24</v>
      </c>
      <c r="H117" t="s">
        <v>25</v>
      </c>
      <c r="I117" t="s">
        <v>26</v>
      </c>
      <c r="J117" t="s">
        <v>60</v>
      </c>
      <c r="K117" t="s">
        <v>513</v>
      </c>
      <c r="L117" t="s">
        <v>53</v>
      </c>
      <c r="M117" s="2">
        <v>3333.6445433726699</v>
      </c>
      <c r="N117" s="2">
        <v>345.82170098665898</v>
      </c>
      <c r="O117" t="s">
        <v>54</v>
      </c>
      <c r="P117">
        <v>3</v>
      </c>
      <c r="Q117" t="s">
        <v>55</v>
      </c>
      <c r="R117" t="s">
        <v>32</v>
      </c>
      <c r="S117" s="2">
        <v>10.5319421172034</v>
      </c>
      <c r="T117" s="2">
        <v>3.33231994395085</v>
      </c>
      <c r="U117" t="str">
        <f>_xlfn.IFS(Table13[[#This Row],[Risk_Score]]&gt;80,"High",AND(Table13[[#This Row],[Risk_Score]]&lt;=80,Table13[[#This Row],[Risk_Score]]&gt;45),"Normal",Table13[[#This Row],[Risk_Score]]&lt;=45,"Low")</f>
        <v>Low</v>
      </c>
      <c r="V117" s="7">
        <f t="shared" si="1"/>
        <v>2987.8228423860101</v>
      </c>
    </row>
    <row r="118" spans="1:22">
      <c r="A118" t="s">
        <v>514</v>
      </c>
      <c r="B118" t="s">
        <v>308</v>
      </c>
      <c r="C118" t="s">
        <v>48</v>
      </c>
      <c r="D118" s="2">
        <v>40057.4135971574</v>
      </c>
      <c r="E118" s="4">
        <v>45733</v>
      </c>
      <c r="F118" t="s">
        <v>515</v>
      </c>
      <c r="G118" t="s">
        <v>24</v>
      </c>
      <c r="H118" t="s">
        <v>1762</v>
      </c>
      <c r="I118" t="s">
        <v>26</v>
      </c>
      <c r="J118" t="s">
        <v>87</v>
      </c>
      <c r="K118" t="s">
        <v>516</v>
      </c>
      <c r="L118" t="s">
        <v>29</v>
      </c>
      <c r="M118" s="2">
        <v>1542.2421443210601</v>
      </c>
      <c r="N118" s="2">
        <v>465.33612778119902</v>
      </c>
      <c r="O118" t="s">
        <v>62</v>
      </c>
      <c r="P118">
        <v>4</v>
      </c>
      <c r="Q118" t="s">
        <v>55</v>
      </c>
      <c r="R118" t="s">
        <v>133</v>
      </c>
      <c r="S118" s="2">
        <v>12.179503568809199</v>
      </c>
      <c r="T118" s="2">
        <v>9.4953647418331002</v>
      </c>
      <c r="U118" t="str">
        <f>_xlfn.IFS(Table13[[#This Row],[Risk_Score]]&gt;80,"High",AND(Table13[[#This Row],[Risk_Score]]&lt;=80,Table13[[#This Row],[Risk_Score]]&gt;45),"Normal",Table13[[#This Row],[Risk_Score]]&lt;=45,"Low")</f>
        <v>Low</v>
      </c>
      <c r="V118" s="7">
        <f t="shared" si="1"/>
        <v>1076.90601653986</v>
      </c>
    </row>
    <row r="119" spans="1:22">
      <c r="A119" t="s">
        <v>517</v>
      </c>
      <c r="B119" t="s">
        <v>66</v>
      </c>
      <c r="C119" t="s">
        <v>22</v>
      </c>
      <c r="D119" s="2">
        <v>49437.566219576598</v>
      </c>
      <c r="E119" s="4">
        <v>45734</v>
      </c>
      <c r="F119" t="s">
        <v>518</v>
      </c>
      <c r="G119" t="s">
        <v>92</v>
      </c>
      <c r="H119" t="s">
        <v>1762</v>
      </c>
      <c r="I119" t="s">
        <v>26</v>
      </c>
      <c r="J119" t="s">
        <v>87</v>
      </c>
      <c r="K119" t="s">
        <v>519</v>
      </c>
      <c r="L119" t="s">
        <v>155</v>
      </c>
      <c r="M119" s="2">
        <v>3472.5094846901002</v>
      </c>
      <c r="N119" s="2">
        <v>0</v>
      </c>
      <c r="O119" t="s">
        <v>43</v>
      </c>
      <c r="P119">
        <v>0</v>
      </c>
      <c r="Q119" t="s">
        <v>44</v>
      </c>
      <c r="R119" t="s">
        <v>45</v>
      </c>
      <c r="S119" s="2">
        <v>20.542280029099299</v>
      </c>
      <c r="T119" s="2">
        <v>96.881644148337699</v>
      </c>
      <c r="U119" t="str">
        <f>_xlfn.IFS(Table13[[#This Row],[Risk_Score]]&gt;80,"High",AND(Table13[[#This Row],[Risk_Score]]&lt;=80,Table13[[#This Row],[Risk_Score]]&gt;45),"Normal",Table13[[#This Row],[Risk_Score]]&lt;=45,"Low")</f>
        <v>High</v>
      </c>
      <c r="V119" s="7">
        <f t="shared" si="1"/>
        <v>3472.5094846901002</v>
      </c>
    </row>
    <row r="120" spans="1:22">
      <c r="A120" t="s">
        <v>520</v>
      </c>
      <c r="B120" t="s">
        <v>57</v>
      </c>
      <c r="C120" t="s">
        <v>85</v>
      </c>
      <c r="D120" s="2">
        <v>39996.902832883803</v>
      </c>
      <c r="E120" s="4">
        <v>45734</v>
      </c>
      <c r="F120" t="s">
        <v>521</v>
      </c>
      <c r="G120" t="s">
        <v>68</v>
      </c>
      <c r="H120" t="s">
        <v>25</v>
      </c>
      <c r="I120" t="s">
        <v>99</v>
      </c>
      <c r="J120" t="s">
        <v>60</v>
      </c>
      <c r="K120" t="s">
        <v>522</v>
      </c>
      <c r="L120" t="s">
        <v>29</v>
      </c>
      <c r="M120" s="2">
        <v>4300.86907770159</v>
      </c>
      <c r="N120" s="2">
        <v>231.99270872019</v>
      </c>
      <c r="O120" t="s">
        <v>43</v>
      </c>
      <c r="P120">
        <v>0</v>
      </c>
      <c r="Q120" t="s">
        <v>1763</v>
      </c>
      <c r="R120" t="s">
        <v>32</v>
      </c>
      <c r="S120" s="2">
        <v>19.4902295637444</v>
      </c>
      <c r="T120" s="2">
        <v>29.363239175987399</v>
      </c>
      <c r="U120" t="str">
        <f>_xlfn.IFS(Table13[[#This Row],[Risk_Score]]&gt;80,"High",AND(Table13[[#This Row],[Risk_Score]]&lt;=80,Table13[[#This Row],[Risk_Score]]&gt;45),"Normal",Table13[[#This Row],[Risk_Score]]&lt;=45,"Low")</f>
        <v>Low</v>
      </c>
      <c r="V120" s="7">
        <f t="shared" si="1"/>
        <v>4068.8763689814</v>
      </c>
    </row>
    <row r="121" spans="1:22">
      <c r="A121" t="s">
        <v>523</v>
      </c>
      <c r="B121" t="s">
        <v>524</v>
      </c>
      <c r="C121" t="s">
        <v>48</v>
      </c>
      <c r="D121" s="2">
        <v>24093.765206644799</v>
      </c>
      <c r="E121" s="4">
        <v>45736</v>
      </c>
      <c r="F121" t="s">
        <v>525</v>
      </c>
      <c r="G121" t="s">
        <v>24</v>
      </c>
      <c r="H121" t="s">
        <v>25</v>
      </c>
      <c r="I121" t="s">
        <v>26</v>
      </c>
      <c r="J121" t="s">
        <v>60</v>
      </c>
      <c r="K121" t="s">
        <v>526</v>
      </c>
      <c r="L121" t="s">
        <v>120</v>
      </c>
      <c r="M121" s="2">
        <v>3459.6119927704399</v>
      </c>
      <c r="N121" s="2">
        <v>0</v>
      </c>
      <c r="O121" t="s">
        <v>54</v>
      </c>
      <c r="P121">
        <v>2</v>
      </c>
      <c r="Q121" t="s">
        <v>63</v>
      </c>
      <c r="R121" t="s">
        <v>32</v>
      </c>
      <c r="S121" s="2">
        <v>4.7859874460563896</v>
      </c>
      <c r="T121" s="2">
        <v>56.4194791798745</v>
      </c>
      <c r="U121" t="str">
        <f>_xlfn.IFS(Table13[[#This Row],[Risk_Score]]&gt;80,"High",AND(Table13[[#This Row],[Risk_Score]]&lt;=80,Table13[[#This Row],[Risk_Score]]&gt;45),"Normal",Table13[[#This Row],[Risk_Score]]&lt;=45,"Low")</f>
        <v>Normal</v>
      </c>
      <c r="V121" s="7">
        <f t="shared" si="1"/>
        <v>3459.6119927704399</v>
      </c>
    </row>
    <row r="122" spans="1:22">
      <c r="A122" t="s">
        <v>527</v>
      </c>
      <c r="B122" t="s">
        <v>528</v>
      </c>
      <c r="C122" t="s">
        <v>48</v>
      </c>
      <c r="D122" s="2">
        <v>28318.866531416399</v>
      </c>
      <c r="E122" s="4">
        <v>45736</v>
      </c>
      <c r="F122" t="s">
        <v>529</v>
      </c>
      <c r="G122" t="s">
        <v>59</v>
      </c>
      <c r="H122" t="s">
        <v>25</v>
      </c>
      <c r="I122" t="s">
        <v>26</v>
      </c>
      <c r="J122" t="s">
        <v>87</v>
      </c>
      <c r="K122" t="s">
        <v>530</v>
      </c>
      <c r="L122" t="s">
        <v>81</v>
      </c>
      <c r="M122" s="2">
        <v>4398.1585220725601</v>
      </c>
      <c r="N122" s="2">
        <v>0</v>
      </c>
      <c r="O122" t="s">
        <v>43</v>
      </c>
      <c r="P122">
        <v>0</v>
      </c>
      <c r="Q122" t="s">
        <v>95</v>
      </c>
      <c r="R122" t="s">
        <v>133</v>
      </c>
      <c r="S122" s="2">
        <v>25.319248557910399</v>
      </c>
      <c r="T122" s="2">
        <v>90.585019209879604</v>
      </c>
      <c r="U122" t="str">
        <f>_xlfn.IFS(Table13[[#This Row],[Risk_Score]]&gt;80,"High",AND(Table13[[#This Row],[Risk_Score]]&lt;=80,Table13[[#This Row],[Risk_Score]]&gt;45),"Normal",Table13[[#This Row],[Risk_Score]]&lt;=45,"Low")</f>
        <v>High</v>
      </c>
      <c r="V122" s="7">
        <f t="shared" si="1"/>
        <v>4398.1585220725601</v>
      </c>
    </row>
    <row r="123" spans="1:22">
      <c r="A123" t="s">
        <v>531</v>
      </c>
      <c r="B123" t="s">
        <v>241</v>
      </c>
      <c r="C123" t="s">
        <v>22</v>
      </c>
      <c r="D123" s="2">
        <v>43362.988624575002</v>
      </c>
      <c r="E123" s="4">
        <v>45737</v>
      </c>
      <c r="F123" t="s">
        <v>532</v>
      </c>
      <c r="G123" t="s">
        <v>24</v>
      </c>
      <c r="H123" t="s">
        <v>1762</v>
      </c>
      <c r="I123" t="s">
        <v>51</v>
      </c>
      <c r="J123" t="s">
        <v>60</v>
      </c>
      <c r="K123" t="s">
        <v>533</v>
      </c>
      <c r="L123" t="s">
        <v>53</v>
      </c>
      <c r="M123" s="2">
        <v>4456.6712778890696</v>
      </c>
      <c r="N123" s="2">
        <v>12.322202318161301</v>
      </c>
      <c r="O123" t="s">
        <v>62</v>
      </c>
      <c r="P123">
        <v>0</v>
      </c>
      <c r="Q123" t="s">
        <v>55</v>
      </c>
      <c r="R123" t="s">
        <v>133</v>
      </c>
      <c r="S123" s="2">
        <v>-4.1003871513729901</v>
      </c>
      <c r="T123" s="2">
        <v>97.742294771374802</v>
      </c>
      <c r="U123" t="str">
        <f>_xlfn.IFS(Table13[[#This Row],[Risk_Score]]&gt;80,"High",AND(Table13[[#This Row],[Risk_Score]]&lt;=80,Table13[[#This Row],[Risk_Score]]&gt;45),"Normal",Table13[[#This Row],[Risk_Score]]&lt;=45,"Low")</f>
        <v>High</v>
      </c>
      <c r="V123" s="7">
        <f t="shared" si="1"/>
        <v>4444.3490755709099</v>
      </c>
    </row>
    <row r="124" spans="1:22">
      <c r="A124" t="s">
        <v>534</v>
      </c>
      <c r="B124" t="s">
        <v>535</v>
      </c>
      <c r="C124" t="s">
        <v>35</v>
      </c>
      <c r="D124" s="2">
        <v>34878.376972084399</v>
      </c>
      <c r="E124" s="4">
        <v>45738</v>
      </c>
      <c r="F124" t="s">
        <v>536</v>
      </c>
      <c r="G124" t="s">
        <v>181</v>
      </c>
      <c r="H124" t="s">
        <v>38</v>
      </c>
      <c r="I124" t="s">
        <v>51</v>
      </c>
      <c r="J124" t="s">
        <v>60</v>
      </c>
      <c r="K124" t="s">
        <v>537</v>
      </c>
      <c r="L124" t="s">
        <v>53</v>
      </c>
      <c r="M124" s="2">
        <v>3744.4962773505399</v>
      </c>
      <c r="N124" s="2">
        <v>0</v>
      </c>
      <c r="O124" t="s">
        <v>62</v>
      </c>
      <c r="P124">
        <v>1</v>
      </c>
      <c r="Q124" t="s">
        <v>63</v>
      </c>
      <c r="R124" t="s">
        <v>133</v>
      </c>
      <c r="S124" s="2">
        <v>-25.611449431303001</v>
      </c>
      <c r="T124" s="2">
        <v>17.964531586413202</v>
      </c>
      <c r="U124" t="str">
        <f>_xlfn.IFS(Table13[[#This Row],[Risk_Score]]&gt;80,"High",AND(Table13[[#This Row],[Risk_Score]]&lt;=80,Table13[[#This Row],[Risk_Score]]&gt;45),"Normal",Table13[[#This Row],[Risk_Score]]&lt;=45,"Low")</f>
        <v>Low</v>
      </c>
      <c r="V124" s="7">
        <f t="shared" si="1"/>
        <v>3744.4962773505399</v>
      </c>
    </row>
    <row r="125" spans="1:22">
      <c r="A125" t="s">
        <v>538</v>
      </c>
      <c r="B125" t="s">
        <v>353</v>
      </c>
      <c r="C125" t="s">
        <v>85</v>
      </c>
      <c r="D125" s="2">
        <v>26763.8791239702</v>
      </c>
      <c r="E125" s="4">
        <v>45739</v>
      </c>
      <c r="F125" t="s">
        <v>539</v>
      </c>
      <c r="G125" t="s">
        <v>92</v>
      </c>
      <c r="H125" t="s">
        <v>1762</v>
      </c>
      <c r="I125" t="s">
        <v>75</v>
      </c>
      <c r="J125" t="s">
        <v>87</v>
      </c>
      <c r="K125" t="s">
        <v>540</v>
      </c>
      <c r="L125" t="s">
        <v>155</v>
      </c>
      <c r="M125" s="2">
        <v>1815.0280634565499</v>
      </c>
      <c r="N125" s="2">
        <v>144.863991869107</v>
      </c>
      <c r="O125" t="s">
        <v>62</v>
      </c>
      <c r="P125">
        <v>2</v>
      </c>
      <c r="Q125" t="s">
        <v>63</v>
      </c>
      <c r="R125" t="s">
        <v>32</v>
      </c>
      <c r="S125" s="2">
        <v>1.4492800616853601</v>
      </c>
      <c r="T125" s="2">
        <v>22.208218820898999</v>
      </c>
      <c r="U125" t="str">
        <f>_xlfn.IFS(Table13[[#This Row],[Risk_Score]]&gt;80,"High",AND(Table13[[#This Row],[Risk_Score]]&lt;=80,Table13[[#This Row],[Risk_Score]]&gt;45),"Normal",Table13[[#This Row],[Risk_Score]]&lt;=45,"Low")</f>
        <v>Low</v>
      </c>
      <c r="V125" s="7">
        <f t="shared" si="1"/>
        <v>1670.16407158744</v>
      </c>
    </row>
    <row r="126" spans="1:22">
      <c r="A126" t="s">
        <v>541</v>
      </c>
      <c r="B126" t="s">
        <v>542</v>
      </c>
      <c r="C126" t="s">
        <v>85</v>
      </c>
      <c r="D126" s="2">
        <v>24764.265121899702</v>
      </c>
      <c r="E126" s="4">
        <v>45739</v>
      </c>
      <c r="F126" t="s">
        <v>543</v>
      </c>
      <c r="G126" t="s">
        <v>68</v>
      </c>
      <c r="H126" t="s">
        <v>25</v>
      </c>
      <c r="I126" t="s">
        <v>99</v>
      </c>
      <c r="J126" t="s">
        <v>87</v>
      </c>
      <c r="K126" t="s">
        <v>544</v>
      </c>
      <c r="L126" t="s">
        <v>120</v>
      </c>
      <c r="M126" s="2">
        <v>4686.78655147478</v>
      </c>
      <c r="N126" s="2">
        <v>331.11607916479602</v>
      </c>
      <c r="O126" t="s">
        <v>54</v>
      </c>
      <c r="P126">
        <v>3</v>
      </c>
      <c r="Q126" t="s">
        <v>31</v>
      </c>
      <c r="R126" t="s">
        <v>32</v>
      </c>
      <c r="S126" s="2">
        <v>23.0240033298832</v>
      </c>
      <c r="T126" s="2">
        <v>9.2345838945432206</v>
      </c>
      <c r="U126" t="str">
        <f>_xlfn.IFS(Table13[[#This Row],[Risk_Score]]&gt;80,"High",AND(Table13[[#This Row],[Risk_Score]]&lt;=80,Table13[[#This Row],[Risk_Score]]&gt;45),"Normal",Table13[[#This Row],[Risk_Score]]&lt;=45,"Low")</f>
        <v>Low</v>
      </c>
      <c r="V126" s="7">
        <f t="shared" si="1"/>
        <v>4355.6704723099801</v>
      </c>
    </row>
    <row r="127" spans="1:22">
      <c r="A127" t="s">
        <v>545</v>
      </c>
      <c r="B127" t="s">
        <v>34</v>
      </c>
      <c r="C127" t="s">
        <v>22</v>
      </c>
      <c r="D127" s="2">
        <v>2499.92273380798</v>
      </c>
      <c r="E127" s="4">
        <v>45739</v>
      </c>
      <c r="F127" t="s">
        <v>546</v>
      </c>
      <c r="G127" t="s">
        <v>59</v>
      </c>
      <c r="H127" t="s">
        <v>1762</v>
      </c>
      <c r="I127" t="s">
        <v>26</v>
      </c>
      <c r="J127" t="s">
        <v>60</v>
      </c>
      <c r="K127" t="s">
        <v>547</v>
      </c>
      <c r="L127" t="s">
        <v>155</v>
      </c>
      <c r="M127" s="2">
        <v>2023.28034635467</v>
      </c>
      <c r="N127" s="2">
        <v>0</v>
      </c>
      <c r="O127" t="s">
        <v>62</v>
      </c>
      <c r="P127">
        <v>4</v>
      </c>
      <c r="Q127" t="s">
        <v>31</v>
      </c>
      <c r="R127" t="s">
        <v>32</v>
      </c>
      <c r="S127" s="2">
        <v>-26.972665762792602</v>
      </c>
      <c r="T127" s="2">
        <v>63.247220241147701</v>
      </c>
      <c r="U127" t="str">
        <f>_xlfn.IFS(Table13[[#This Row],[Risk_Score]]&gt;80,"High",AND(Table13[[#This Row],[Risk_Score]]&lt;=80,Table13[[#This Row],[Risk_Score]]&gt;45),"Normal",Table13[[#This Row],[Risk_Score]]&lt;=45,"Low")</f>
        <v>Normal</v>
      </c>
      <c r="V127" s="7">
        <f t="shared" si="1"/>
        <v>2023.28034635467</v>
      </c>
    </row>
    <row r="128" spans="1:22">
      <c r="A128" t="s">
        <v>548</v>
      </c>
      <c r="B128" t="s">
        <v>549</v>
      </c>
      <c r="C128" t="s">
        <v>48</v>
      </c>
      <c r="D128" s="2">
        <v>48729.908533423601</v>
      </c>
      <c r="E128" s="4">
        <v>45741</v>
      </c>
      <c r="F128" t="s">
        <v>550</v>
      </c>
      <c r="G128" t="s">
        <v>50</v>
      </c>
      <c r="H128" t="s">
        <v>1762</v>
      </c>
      <c r="I128" t="s">
        <v>75</v>
      </c>
      <c r="J128" t="s">
        <v>60</v>
      </c>
      <c r="K128" t="s">
        <v>551</v>
      </c>
      <c r="L128" t="s">
        <v>155</v>
      </c>
      <c r="M128" s="2">
        <v>3325.43403513267</v>
      </c>
      <c r="N128" s="2">
        <v>0</v>
      </c>
      <c r="O128" t="s">
        <v>62</v>
      </c>
      <c r="P128">
        <v>1</v>
      </c>
      <c r="Q128" t="s">
        <v>95</v>
      </c>
      <c r="R128" t="s">
        <v>45</v>
      </c>
      <c r="S128" s="2">
        <v>4.9541345528886804</v>
      </c>
      <c r="T128" s="2">
        <v>3.5892751188932399</v>
      </c>
      <c r="U128" t="str">
        <f>_xlfn.IFS(Table13[[#This Row],[Risk_Score]]&gt;80,"High",AND(Table13[[#This Row],[Risk_Score]]&lt;=80,Table13[[#This Row],[Risk_Score]]&gt;45),"Normal",Table13[[#This Row],[Risk_Score]]&lt;=45,"Low")</f>
        <v>Low</v>
      </c>
      <c r="V128" s="7">
        <f t="shared" si="1"/>
        <v>3325.43403513267</v>
      </c>
    </row>
    <row r="129" spans="1:22">
      <c r="A129" t="s">
        <v>552</v>
      </c>
      <c r="B129" t="s">
        <v>84</v>
      </c>
      <c r="C129" t="s">
        <v>48</v>
      </c>
      <c r="D129" s="2">
        <v>29688.848972415199</v>
      </c>
      <c r="E129" s="4">
        <v>45741</v>
      </c>
      <c r="F129" t="s">
        <v>553</v>
      </c>
      <c r="G129" t="s">
        <v>68</v>
      </c>
      <c r="H129" t="s">
        <v>1762</v>
      </c>
      <c r="I129" t="s">
        <v>26</v>
      </c>
      <c r="J129" t="s">
        <v>87</v>
      </c>
      <c r="K129" t="s">
        <v>554</v>
      </c>
      <c r="L129" t="s">
        <v>120</v>
      </c>
      <c r="M129" s="2">
        <v>1141.5184963264101</v>
      </c>
      <c r="N129" s="2">
        <v>0</v>
      </c>
      <c r="O129" t="s">
        <v>54</v>
      </c>
      <c r="P129">
        <v>0</v>
      </c>
      <c r="Q129" t="s">
        <v>31</v>
      </c>
      <c r="R129" t="s">
        <v>45</v>
      </c>
      <c r="S129" s="2">
        <v>-29.188963698016799</v>
      </c>
      <c r="T129" s="2">
        <v>25.008246891394201</v>
      </c>
      <c r="U129" t="str">
        <f>_xlfn.IFS(Table13[[#This Row],[Risk_Score]]&gt;80,"High",AND(Table13[[#This Row],[Risk_Score]]&lt;=80,Table13[[#This Row],[Risk_Score]]&gt;45),"Normal",Table13[[#This Row],[Risk_Score]]&lt;=45,"Low")</f>
        <v>Low</v>
      </c>
      <c r="V129" s="7">
        <f t="shared" si="1"/>
        <v>1141.5184963264101</v>
      </c>
    </row>
    <row r="130" spans="1:22">
      <c r="A130" t="s">
        <v>555</v>
      </c>
      <c r="B130" t="s">
        <v>84</v>
      </c>
      <c r="C130" t="s">
        <v>85</v>
      </c>
      <c r="D130" s="2">
        <v>5301.9236059852901</v>
      </c>
      <c r="E130" s="4">
        <v>45741</v>
      </c>
      <c r="F130" t="s">
        <v>556</v>
      </c>
      <c r="G130" t="s">
        <v>92</v>
      </c>
      <c r="H130" t="s">
        <v>38</v>
      </c>
      <c r="I130" t="s">
        <v>75</v>
      </c>
      <c r="J130" t="s">
        <v>87</v>
      </c>
      <c r="K130" t="s">
        <v>557</v>
      </c>
      <c r="L130" t="s">
        <v>81</v>
      </c>
      <c r="M130" s="2">
        <v>3544.48337107103</v>
      </c>
      <c r="N130" s="2">
        <v>52.156543675941101</v>
      </c>
      <c r="O130" t="s">
        <v>43</v>
      </c>
      <c r="P130">
        <v>2</v>
      </c>
      <c r="Q130" t="s">
        <v>95</v>
      </c>
      <c r="R130" t="s">
        <v>45</v>
      </c>
      <c r="S130" s="2">
        <v>9.2862428161252897</v>
      </c>
      <c r="T130" s="2">
        <v>1.4515094527608801</v>
      </c>
      <c r="U130" t="str">
        <f>_xlfn.IFS(Table13[[#This Row],[Risk_Score]]&gt;80,"High",AND(Table13[[#This Row],[Risk_Score]]&lt;=80,Table13[[#This Row],[Risk_Score]]&gt;45),"Normal",Table13[[#This Row],[Risk_Score]]&lt;=45,"Low")</f>
        <v>Low</v>
      </c>
      <c r="V130" s="7">
        <f t="shared" ref="V130:V193" si="2">IF(M130-N130&gt;0,M130-N130,0)</f>
        <v>3492.3268273950898</v>
      </c>
    </row>
    <row r="131" spans="1:22">
      <c r="A131" t="s">
        <v>558</v>
      </c>
      <c r="B131" t="s">
        <v>166</v>
      </c>
      <c r="C131" t="s">
        <v>22</v>
      </c>
      <c r="D131" s="2">
        <v>23606.166089421298</v>
      </c>
      <c r="E131" s="4">
        <v>45741</v>
      </c>
      <c r="F131" t="s">
        <v>559</v>
      </c>
      <c r="G131" t="s">
        <v>68</v>
      </c>
      <c r="H131" t="s">
        <v>38</v>
      </c>
      <c r="I131" t="s">
        <v>26</v>
      </c>
      <c r="J131" t="s">
        <v>60</v>
      </c>
      <c r="K131" t="s">
        <v>560</v>
      </c>
      <c r="L131" t="s">
        <v>155</v>
      </c>
      <c r="M131" s="2">
        <v>182.99488752242999</v>
      </c>
      <c r="N131" s="2">
        <v>213.447363911651</v>
      </c>
      <c r="O131" t="s">
        <v>62</v>
      </c>
      <c r="P131">
        <v>2</v>
      </c>
      <c r="Q131" t="s">
        <v>63</v>
      </c>
      <c r="R131" t="s">
        <v>32</v>
      </c>
      <c r="S131" s="2">
        <v>-29.519511559573001</v>
      </c>
      <c r="T131" s="2">
        <v>27.052178017184701</v>
      </c>
      <c r="U131" t="str">
        <f>_xlfn.IFS(Table13[[#This Row],[Risk_Score]]&gt;80,"High",AND(Table13[[#This Row],[Risk_Score]]&lt;=80,Table13[[#This Row],[Risk_Score]]&gt;45),"Normal",Table13[[#This Row],[Risk_Score]]&lt;=45,"Low")</f>
        <v>Low</v>
      </c>
      <c r="V131" s="7">
        <f t="shared" si="2"/>
        <v>0</v>
      </c>
    </row>
    <row r="132" spans="1:22">
      <c r="A132" t="s">
        <v>561</v>
      </c>
      <c r="B132" t="s">
        <v>562</v>
      </c>
      <c r="C132" t="s">
        <v>22</v>
      </c>
      <c r="D132" s="2">
        <v>18899.274599903201</v>
      </c>
      <c r="E132" s="4">
        <v>45743</v>
      </c>
      <c r="F132" t="s">
        <v>563</v>
      </c>
      <c r="G132" t="s">
        <v>37</v>
      </c>
      <c r="H132" t="s">
        <v>25</v>
      </c>
      <c r="I132" t="s">
        <v>75</v>
      </c>
      <c r="J132" t="s">
        <v>60</v>
      </c>
      <c r="K132" t="s">
        <v>564</v>
      </c>
      <c r="L132" t="s">
        <v>53</v>
      </c>
      <c r="M132" s="2">
        <v>1081.57788941074</v>
      </c>
      <c r="N132" s="2">
        <v>0</v>
      </c>
      <c r="O132" t="s">
        <v>43</v>
      </c>
      <c r="P132">
        <v>2</v>
      </c>
      <c r="Q132" t="s">
        <v>1763</v>
      </c>
      <c r="R132" t="s">
        <v>45</v>
      </c>
      <c r="S132" s="2">
        <v>-26.503481906365501</v>
      </c>
      <c r="T132" s="2">
        <v>22.377838627097599</v>
      </c>
      <c r="U132" t="str">
        <f>_xlfn.IFS(Table13[[#This Row],[Risk_Score]]&gt;80,"High",AND(Table13[[#This Row],[Risk_Score]]&lt;=80,Table13[[#This Row],[Risk_Score]]&gt;45),"Normal",Table13[[#This Row],[Risk_Score]]&lt;=45,"Low")</f>
        <v>Low</v>
      </c>
      <c r="V132" s="7">
        <f t="shared" si="2"/>
        <v>1081.57788941074</v>
      </c>
    </row>
    <row r="133" spans="1:22">
      <c r="A133" t="s">
        <v>565</v>
      </c>
      <c r="B133" t="s">
        <v>566</v>
      </c>
      <c r="C133" t="s">
        <v>85</v>
      </c>
      <c r="D133" s="2">
        <v>27630.957503441099</v>
      </c>
      <c r="E133" s="4">
        <v>45743</v>
      </c>
      <c r="F133" t="s">
        <v>567</v>
      </c>
      <c r="G133" t="s">
        <v>163</v>
      </c>
      <c r="H133" t="s">
        <v>1762</v>
      </c>
      <c r="I133" t="s">
        <v>99</v>
      </c>
      <c r="J133" t="s">
        <v>87</v>
      </c>
      <c r="K133" t="s">
        <v>568</v>
      </c>
      <c r="L133" t="s">
        <v>81</v>
      </c>
      <c r="M133" s="2">
        <v>68.993870263614397</v>
      </c>
      <c r="N133" s="2">
        <v>0</v>
      </c>
      <c r="O133" t="s">
        <v>43</v>
      </c>
      <c r="P133">
        <v>3</v>
      </c>
      <c r="Q133" t="s">
        <v>95</v>
      </c>
      <c r="R133" t="s">
        <v>133</v>
      </c>
      <c r="S133" s="2">
        <v>20.5769995883464</v>
      </c>
      <c r="T133" s="2">
        <v>44.510666371799402</v>
      </c>
      <c r="U133" t="str">
        <f>_xlfn.IFS(Table13[[#This Row],[Risk_Score]]&gt;80,"High",AND(Table13[[#This Row],[Risk_Score]]&lt;=80,Table13[[#This Row],[Risk_Score]]&gt;45),"Normal",Table13[[#This Row],[Risk_Score]]&lt;=45,"Low")</f>
        <v>Low</v>
      </c>
      <c r="V133" s="7">
        <f t="shared" si="2"/>
        <v>68.993870263614397</v>
      </c>
    </row>
    <row r="134" spans="1:22">
      <c r="A134" t="s">
        <v>569</v>
      </c>
      <c r="B134" t="s">
        <v>281</v>
      </c>
      <c r="C134" t="s">
        <v>22</v>
      </c>
      <c r="D134" s="2">
        <v>31897.855831495399</v>
      </c>
      <c r="E134" s="4">
        <v>45744</v>
      </c>
      <c r="F134" t="s">
        <v>570</v>
      </c>
      <c r="G134" t="s">
        <v>50</v>
      </c>
      <c r="H134" t="s">
        <v>38</v>
      </c>
      <c r="I134" t="s">
        <v>99</v>
      </c>
      <c r="J134" t="s">
        <v>87</v>
      </c>
      <c r="K134" t="s">
        <v>571</v>
      </c>
      <c r="L134" t="s">
        <v>155</v>
      </c>
      <c r="M134" s="2">
        <v>1434.1997765413701</v>
      </c>
      <c r="N134" s="2">
        <v>0</v>
      </c>
      <c r="O134" t="s">
        <v>43</v>
      </c>
      <c r="P134">
        <v>4</v>
      </c>
      <c r="Q134" t="s">
        <v>63</v>
      </c>
      <c r="R134" t="s">
        <v>32</v>
      </c>
      <c r="S134" s="2">
        <v>-9.0248882529364796</v>
      </c>
      <c r="T134" s="2">
        <v>39.672760046838597</v>
      </c>
      <c r="U134" t="str">
        <f>_xlfn.IFS(Table13[[#This Row],[Risk_Score]]&gt;80,"High",AND(Table13[[#This Row],[Risk_Score]]&lt;=80,Table13[[#This Row],[Risk_Score]]&gt;45),"Normal",Table13[[#This Row],[Risk_Score]]&lt;=45,"Low")</f>
        <v>Low</v>
      </c>
      <c r="V134" s="7">
        <f t="shared" si="2"/>
        <v>1434.1997765413701</v>
      </c>
    </row>
    <row r="135" spans="1:22">
      <c r="A135" t="s">
        <v>572</v>
      </c>
      <c r="B135" t="s">
        <v>372</v>
      </c>
      <c r="C135" t="s">
        <v>85</v>
      </c>
      <c r="D135" s="2">
        <v>45038.557831695703</v>
      </c>
      <c r="E135" s="4">
        <v>45744</v>
      </c>
      <c r="F135" t="s">
        <v>573</v>
      </c>
      <c r="G135" t="s">
        <v>37</v>
      </c>
      <c r="H135" t="s">
        <v>1762</v>
      </c>
      <c r="I135" t="s">
        <v>51</v>
      </c>
      <c r="J135" t="s">
        <v>60</v>
      </c>
      <c r="K135" t="s">
        <v>574</v>
      </c>
      <c r="L135" t="s">
        <v>120</v>
      </c>
      <c r="M135" s="2">
        <v>3419.3282474674002</v>
      </c>
      <c r="N135" s="2">
        <v>0</v>
      </c>
      <c r="O135" t="s">
        <v>54</v>
      </c>
      <c r="P135">
        <v>2</v>
      </c>
      <c r="Q135" t="s">
        <v>95</v>
      </c>
      <c r="R135" t="s">
        <v>45</v>
      </c>
      <c r="S135" s="2">
        <v>25.999765146980799</v>
      </c>
      <c r="T135" s="2">
        <v>13.698222230952799</v>
      </c>
      <c r="U135" t="str">
        <f>_xlfn.IFS(Table13[[#This Row],[Risk_Score]]&gt;80,"High",AND(Table13[[#This Row],[Risk_Score]]&lt;=80,Table13[[#This Row],[Risk_Score]]&gt;45),"Normal",Table13[[#This Row],[Risk_Score]]&lt;=45,"Low")</f>
        <v>Low</v>
      </c>
      <c r="V135" s="7">
        <f t="shared" si="2"/>
        <v>3419.3282474674002</v>
      </c>
    </row>
    <row r="136" spans="1:22">
      <c r="A136" t="s">
        <v>575</v>
      </c>
      <c r="B136" t="s">
        <v>576</v>
      </c>
      <c r="C136" t="s">
        <v>22</v>
      </c>
      <c r="D136" s="2">
        <v>44881.777449962297</v>
      </c>
      <c r="E136" s="4">
        <v>45745</v>
      </c>
      <c r="F136" t="s">
        <v>577</v>
      </c>
      <c r="G136" t="s">
        <v>181</v>
      </c>
      <c r="H136" t="s">
        <v>38</v>
      </c>
      <c r="I136" t="s">
        <v>99</v>
      </c>
      <c r="J136" t="s">
        <v>60</v>
      </c>
      <c r="K136" t="s">
        <v>302</v>
      </c>
      <c r="L136" t="s">
        <v>42</v>
      </c>
      <c r="M136" s="2">
        <v>4389.2384437286601</v>
      </c>
      <c r="N136" s="2">
        <v>131.77573974838899</v>
      </c>
      <c r="O136" t="s">
        <v>43</v>
      </c>
      <c r="P136">
        <v>2</v>
      </c>
      <c r="Q136" t="s">
        <v>44</v>
      </c>
      <c r="R136" t="s">
        <v>133</v>
      </c>
      <c r="S136" s="2">
        <v>-26.693421603560001</v>
      </c>
      <c r="T136" s="2">
        <v>62.854403087886098</v>
      </c>
      <c r="U136" t="str">
        <f>_xlfn.IFS(Table13[[#This Row],[Risk_Score]]&gt;80,"High",AND(Table13[[#This Row],[Risk_Score]]&lt;=80,Table13[[#This Row],[Risk_Score]]&gt;45),"Normal",Table13[[#This Row],[Risk_Score]]&lt;=45,"Low")</f>
        <v>Normal</v>
      </c>
      <c r="V136" s="7">
        <f t="shared" si="2"/>
        <v>4257.4627039802699</v>
      </c>
    </row>
    <row r="137" spans="1:22">
      <c r="A137" t="s">
        <v>578</v>
      </c>
      <c r="B137" t="s">
        <v>188</v>
      </c>
      <c r="C137" t="s">
        <v>85</v>
      </c>
      <c r="D137" s="2">
        <v>11737.4989363351</v>
      </c>
      <c r="E137" s="4">
        <v>45746</v>
      </c>
      <c r="F137" t="s">
        <v>579</v>
      </c>
      <c r="G137" t="s">
        <v>68</v>
      </c>
      <c r="H137" t="s">
        <v>38</v>
      </c>
      <c r="I137" t="s">
        <v>75</v>
      </c>
      <c r="J137" t="s">
        <v>87</v>
      </c>
      <c r="K137" t="s">
        <v>580</v>
      </c>
      <c r="L137" t="s">
        <v>81</v>
      </c>
      <c r="M137" s="2">
        <v>2934.0117978998101</v>
      </c>
      <c r="N137" s="2">
        <v>493.68423615609998</v>
      </c>
      <c r="O137" t="s">
        <v>54</v>
      </c>
      <c r="P137">
        <v>3</v>
      </c>
      <c r="Q137" t="s">
        <v>31</v>
      </c>
      <c r="R137" t="s">
        <v>45</v>
      </c>
      <c r="S137" s="2">
        <v>8.1563746044860199</v>
      </c>
      <c r="T137" s="2">
        <v>9.9985247483776707</v>
      </c>
      <c r="U137" t="str">
        <f>_xlfn.IFS(Table13[[#This Row],[Risk_Score]]&gt;80,"High",AND(Table13[[#This Row],[Risk_Score]]&lt;=80,Table13[[#This Row],[Risk_Score]]&gt;45),"Normal",Table13[[#This Row],[Risk_Score]]&lt;=45,"Low")</f>
        <v>Low</v>
      </c>
      <c r="V137" s="7">
        <f t="shared" si="2"/>
        <v>2440.3275617437098</v>
      </c>
    </row>
    <row r="138" spans="1:22">
      <c r="A138" t="s">
        <v>581</v>
      </c>
      <c r="B138" t="s">
        <v>582</v>
      </c>
      <c r="C138" t="s">
        <v>85</v>
      </c>
      <c r="D138" s="2">
        <v>16267.1040492293</v>
      </c>
      <c r="E138" s="4">
        <v>45747</v>
      </c>
      <c r="F138" t="s">
        <v>583</v>
      </c>
      <c r="G138" t="s">
        <v>59</v>
      </c>
      <c r="H138" t="s">
        <v>1762</v>
      </c>
      <c r="I138" t="s">
        <v>99</v>
      </c>
      <c r="J138" t="s">
        <v>87</v>
      </c>
      <c r="K138" t="s">
        <v>584</v>
      </c>
      <c r="L138" t="s">
        <v>29</v>
      </c>
      <c r="M138" s="2">
        <v>1531.1984212902501</v>
      </c>
      <c r="N138" s="2">
        <v>0</v>
      </c>
      <c r="O138" t="s">
        <v>43</v>
      </c>
      <c r="P138">
        <v>0</v>
      </c>
      <c r="Q138" t="s">
        <v>31</v>
      </c>
      <c r="R138" t="s">
        <v>133</v>
      </c>
      <c r="S138" s="2">
        <v>10.6186051386617</v>
      </c>
      <c r="T138" s="2">
        <v>69.329746855149196</v>
      </c>
      <c r="U138" t="str">
        <f>_xlfn.IFS(Table13[[#This Row],[Risk_Score]]&gt;80,"High",AND(Table13[[#This Row],[Risk_Score]]&lt;=80,Table13[[#This Row],[Risk_Score]]&gt;45),"Normal",Table13[[#This Row],[Risk_Score]]&lt;=45,"Low")</f>
        <v>Normal</v>
      </c>
      <c r="V138" s="7">
        <f t="shared" si="2"/>
        <v>1531.1984212902501</v>
      </c>
    </row>
    <row r="139" spans="1:22">
      <c r="A139" t="s">
        <v>585</v>
      </c>
      <c r="B139" t="s">
        <v>166</v>
      </c>
      <c r="C139" t="s">
        <v>48</v>
      </c>
      <c r="D139" s="2">
        <v>40312.657848383104</v>
      </c>
      <c r="E139" s="4">
        <v>45747</v>
      </c>
      <c r="F139" t="s">
        <v>586</v>
      </c>
      <c r="G139" t="s">
        <v>141</v>
      </c>
      <c r="H139" t="s">
        <v>38</v>
      </c>
      <c r="I139" t="s">
        <v>99</v>
      </c>
      <c r="J139" t="s">
        <v>87</v>
      </c>
      <c r="K139" t="s">
        <v>587</v>
      </c>
      <c r="L139" t="s">
        <v>155</v>
      </c>
      <c r="M139" s="2">
        <v>729.94064254493696</v>
      </c>
      <c r="N139" s="2">
        <v>0</v>
      </c>
      <c r="O139" t="s">
        <v>54</v>
      </c>
      <c r="P139">
        <v>3</v>
      </c>
      <c r="Q139" t="s">
        <v>44</v>
      </c>
      <c r="R139" t="s">
        <v>45</v>
      </c>
      <c r="S139" s="2">
        <v>21.508215155895801</v>
      </c>
      <c r="T139" s="2">
        <v>5.4787047923548799</v>
      </c>
      <c r="U139" t="str">
        <f>_xlfn.IFS(Table13[[#This Row],[Risk_Score]]&gt;80,"High",AND(Table13[[#This Row],[Risk_Score]]&lt;=80,Table13[[#This Row],[Risk_Score]]&gt;45),"Normal",Table13[[#This Row],[Risk_Score]]&lt;=45,"Low")</f>
        <v>Low</v>
      </c>
      <c r="V139" s="7">
        <f t="shared" si="2"/>
        <v>729.94064254493696</v>
      </c>
    </row>
    <row r="140" spans="1:22">
      <c r="A140" t="s">
        <v>588</v>
      </c>
      <c r="B140" t="s">
        <v>589</v>
      </c>
      <c r="C140" t="s">
        <v>22</v>
      </c>
      <c r="D140" s="2">
        <v>38585.208759134897</v>
      </c>
      <c r="E140" s="4">
        <v>45749</v>
      </c>
      <c r="F140" t="s">
        <v>590</v>
      </c>
      <c r="G140" t="s">
        <v>92</v>
      </c>
      <c r="H140" t="s">
        <v>1762</v>
      </c>
      <c r="I140" t="s">
        <v>99</v>
      </c>
      <c r="J140" t="s">
        <v>87</v>
      </c>
      <c r="K140" t="s">
        <v>591</v>
      </c>
      <c r="L140" t="s">
        <v>120</v>
      </c>
      <c r="M140" s="2">
        <v>3686.8074228118799</v>
      </c>
      <c r="N140" s="2">
        <v>0</v>
      </c>
      <c r="O140" t="s">
        <v>62</v>
      </c>
      <c r="P140">
        <v>1</v>
      </c>
      <c r="Q140" t="s">
        <v>31</v>
      </c>
      <c r="R140" t="s">
        <v>45</v>
      </c>
      <c r="S140" s="2">
        <v>13.0031151460585</v>
      </c>
      <c r="T140" s="2">
        <v>66.144781661310105</v>
      </c>
      <c r="U140" t="str">
        <f>_xlfn.IFS(Table13[[#This Row],[Risk_Score]]&gt;80,"High",AND(Table13[[#This Row],[Risk_Score]]&lt;=80,Table13[[#This Row],[Risk_Score]]&gt;45),"Normal",Table13[[#This Row],[Risk_Score]]&lt;=45,"Low")</f>
        <v>Normal</v>
      </c>
      <c r="V140" s="7">
        <f t="shared" si="2"/>
        <v>3686.8074228118799</v>
      </c>
    </row>
    <row r="141" spans="1:22">
      <c r="A141" t="s">
        <v>592</v>
      </c>
      <c r="B141" t="s">
        <v>593</v>
      </c>
      <c r="C141" t="s">
        <v>85</v>
      </c>
      <c r="D141" s="2">
        <v>12769.039345760901</v>
      </c>
      <c r="E141" s="4">
        <v>45749</v>
      </c>
      <c r="F141" t="s">
        <v>594</v>
      </c>
      <c r="G141" t="s">
        <v>68</v>
      </c>
      <c r="H141" t="s">
        <v>25</v>
      </c>
      <c r="I141" t="s">
        <v>26</v>
      </c>
      <c r="J141" t="s">
        <v>60</v>
      </c>
      <c r="K141" t="s">
        <v>595</v>
      </c>
      <c r="L141" t="s">
        <v>42</v>
      </c>
      <c r="M141" s="2">
        <v>2534.9405788089498</v>
      </c>
      <c r="N141" s="2">
        <v>0</v>
      </c>
      <c r="O141" t="s">
        <v>43</v>
      </c>
      <c r="P141">
        <v>1</v>
      </c>
      <c r="Q141" t="s">
        <v>44</v>
      </c>
      <c r="R141" t="s">
        <v>45</v>
      </c>
      <c r="S141" s="2">
        <v>1.2273655283629801</v>
      </c>
      <c r="T141" s="2">
        <v>11.3135937674024</v>
      </c>
      <c r="U141" t="str">
        <f>_xlfn.IFS(Table13[[#This Row],[Risk_Score]]&gt;80,"High",AND(Table13[[#This Row],[Risk_Score]]&lt;=80,Table13[[#This Row],[Risk_Score]]&gt;45),"Normal",Table13[[#This Row],[Risk_Score]]&lt;=45,"Low")</f>
        <v>Low</v>
      </c>
      <c r="V141" s="7">
        <f t="shared" si="2"/>
        <v>2534.9405788089498</v>
      </c>
    </row>
    <row r="142" spans="1:22">
      <c r="A142" t="s">
        <v>596</v>
      </c>
      <c r="B142" t="s">
        <v>597</v>
      </c>
      <c r="C142" t="s">
        <v>22</v>
      </c>
      <c r="D142" s="2">
        <v>4455.7799615248096</v>
      </c>
      <c r="E142" s="4">
        <v>45749</v>
      </c>
      <c r="F142" t="s">
        <v>598</v>
      </c>
      <c r="G142" t="s">
        <v>50</v>
      </c>
      <c r="H142" t="s">
        <v>38</v>
      </c>
      <c r="I142" t="s">
        <v>99</v>
      </c>
      <c r="J142" t="s">
        <v>87</v>
      </c>
      <c r="K142" t="s">
        <v>599</v>
      </c>
      <c r="L142" t="s">
        <v>29</v>
      </c>
      <c r="M142" s="2">
        <v>411.367784853155</v>
      </c>
      <c r="N142" s="2">
        <v>0</v>
      </c>
      <c r="O142" t="s">
        <v>43</v>
      </c>
      <c r="P142">
        <v>2</v>
      </c>
      <c r="Q142" t="s">
        <v>55</v>
      </c>
      <c r="R142" t="s">
        <v>133</v>
      </c>
      <c r="S142" s="2">
        <v>25.7644539642124</v>
      </c>
      <c r="T142" s="2">
        <v>88.931875992831905</v>
      </c>
      <c r="U142" t="str">
        <f>_xlfn.IFS(Table13[[#This Row],[Risk_Score]]&gt;80,"High",AND(Table13[[#This Row],[Risk_Score]]&lt;=80,Table13[[#This Row],[Risk_Score]]&gt;45),"Normal",Table13[[#This Row],[Risk_Score]]&lt;=45,"Low")</f>
        <v>High</v>
      </c>
      <c r="V142" s="7">
        <f t="shared" si="2"/>
        <v>411.367784853155</v>
      </c>
    </row>
    <row r="143" spans="1:22">
      <c r="A143" t="s">
        <v>600</v>
      </c>
      <c r="B143" t="s">
        <v>21</v>
      </c>
      <c r="C143" t="s">
        <v>35</v>
      </c>
      <c r="D143" s="2">
        <v>41870.241636081199</v>
      </c>
      <c r="E143" s="4">
        <v>45750</v>
      </c>
      <c r="F143" t="s">
        <v>601</v>
      </c>
      <c r="G143" t="s">
        <v>68</v>
      </c>
      <c r="H143" t="s">
        <v>25</v>
      </c>
      <c r="I143" t="s">
        <v>75</v>
      </c>
      <c r="J143" t="s">
        <v>87</v>
      </c>
      <c r="K143" t="s">
        <v>602</v>
      </c>
      <c r="L143" t="s">
        <v>81</v>
      </c>
      <c r="M143" s="2">
        <v>4264.4584520627996</v>
      </c>
      <c r="N143" s="2">
        <v>0</v>
      </c>
      <c r="O143" t="s">
        <v>62</v>
      </c>
      <c r="P143">
        <v>3</v>
      </c>
      <c r="Q143" t="s">
        <v>63</v>
      </c>
      <c r="R143" t="s">
        <v>32</v>
      </c>
      <c r="S143" s="2">
        <v>-10.523472114183299</v>
      </c>
      <c r="T143" s="2">
        <v>20.619707925520199</v>
      </c>
      <c r="U143" t="str">
        <f>_xlfn.IFS(Table13[[#This Row],[Risk_Score]]&gt;80,"High",AND(Table13[[#This Row],[Risk_Score]]&lt;=80,Table13[[#This Row],[Risk_Score]]&gt;45),"Normal",Table13[[#This Row],[Risk_Score]]&lt;=45,"Low")</f>
        <v>Low</v>
      </c>
      <c r="V143" s="7">
        <f t="shared" si="2"/>
        <v>4264.4584520627996</v>
      </c>
    </row>
    <row r="144" spans="1:22">
      <c r="A144" t="s">
        <v>603</v>
      </c>
      <c r="B144" t="s">
        <v>199</v>
      </c>
      <c r="C144" t="s">
        <v>85</v>
      </c>
      <c r="D144" s="2">
        <v>43189.555216586603</v>
      </c>
      <c r="E144" s="4">
        <v>45750</v>
      </c>
      <c r="F144" t="s">
        <v>604</v>
      </c>
      <c r="G144" t="s">
        <v>141</v>
      </c>
      <c r="H144" t="s">
        <v>38</v>
      </c>
      <c r="I144" t="s">
        <v>99</v>
      </c>
      <c r="J144" t="s">
        <v>60</v>
      </c>
      <c r="K144" t="s">
        <v>605</v>
      </c>
      <c r="L144" t="s">
        <v>81</v>
      </c>
      <c r="M144" s="2">
        <v>4635.2259707599196</v>
      </c>
      <c r="N144" s="2">
        <v>313.02735449040102</v>
      </c>
      <c r="O144" t="s">
        <v>54</v>
      </c>
      <c r="P144">
        <v>1</v>
      </c>
      <c r="Q144" t="s">
        <v>44</v>
      </c>
      <c r="R144" t="s">
        <v>133</v>
      </c>
      <c r="S144" s="2">
        <v>0.11041455333830499</v>
      </c>
      <c r="T144" s="2">
        <v>74.667096478663694</v>
      </c>
      <c r="U144" t="str">
        <f>_xlfn.IFS(Table13[[#This Row],[Risk_Score]]&gt;80,"High",AND(Table13[[#This Row],[Risk_Score]]&lt;=80,Table13[[#This Row],[Risk_Score]]&gt;45),"Normal",Table13[[#This Row],[Risk_Score]]&lt;=45,"Low")</f>
        <v>Normal</v>
      </c>
      <c r="V144" s="7">
        <f t="shared" si="2"/>
        <v>4322.1986162695202</v>
      </c>
    </row>
    <row r="145" spans="1:22">
      <c r="A145" t="s">
        <v>606</v>
      </c>
      <c r="B145" t="s">
        <v>607</v>
      </c>
      <c r="C145" t="s">
        <v>35</v>
      </c>
      <c r="D145" s="2">
        <v>35731.5540695124</v>
      </c>
      <c r="E145" s="4">
        <v>45752</v>
      </c>
      <c r="F145" t="s">
        <v>608</v>
      </c>
      <c r="G145" t="s">
        <v>92</v>
      </c>
      <c r="H145" t="s">
        <v>1762</v>
      </c>
      <c r="I145" t="s">
        <v>75</v>
      </c>
      <c r="J145" t="s">
        <v>87</v>
      </c>
      <c r="K145" t="s">
        <v>609</v>
      </c>
      <c r="L145" t="s">
        <v>42</v>
      </c>
      <c r="M145" s="2">
        <v>1265.4755984252299</v>
      </c>
      <c r="N145" s="2">
        <v>0</v>
      </c>
      <c r="O145" t="s">
        <v>43</v>
      </c>
      <c r="P145">
        <v>2</v>
      </c>
      <c r="Q145" t="s">
        <v>55</v>
      </c>
      <c r="R145" t="s">
        <v>32</v>
      </c>
      <c r="S145" s="2">
        <v>-12.0682086727879</v>
      </c>
      <c r="T145" s="2">
        <v>44.676983446825197</v>
      </c>
      <c r="U145" t="str">
        <f>_xlfn.IFS(Table13[[#This Row],[Risk_Score]]&gt;80,"High",AND(Table13[[#This Row],[Risk_Score]]&lt;=80,Table13[[#This Row],[Risk_Score]]&gt;45),"Normal",Table13[[#This Row],[Risk_Score]]&lt;=45,"Low")</f>
        <v>Low</v>
      </c>
      <c r="V145" s="7">
        <f t="shared" si="2"/>
        <v>1265.4755984252299</v>
      </c>
    </row>
    <row r="146" spans="1:22">
      <c r="A146" t="s">
        <v>610</v>
      </c>
      <c r="B146" t="s">
        <v>281</v>
      </c>
      <c r="C146" t="s">
        <v>35</v>
      </c>
      <c r="D146" s="2">
        <v>31204.294290159</v>
      </c>
      <c r="E146" s="4">
        <v>45753</v>
      </c>
      <c r="F146" t="s">
        <v>611</v>
      </c>
      <c r="G146" t="s">
        <v>37</v>
      </c>
      <c r="H146" t="s">
        <v>1762</v>
      </c>
      <c r="I146" t="s">
        <v>99</v>
      </c>
      <c r="J146" t="s">
        <v>87</v>
      </c>
      <c r="K146" t="s">
        <v>612</v>
      </c>
      <c r="L146" t="s">
        <v>120</v>
      </c>
      <c r="M146" s="2">
        <v>1566.0260406728401</v>
      </c>
      <c r="N146" s="2">
        <v>0</v>
      </c>
      <c r="O146" t="s">
        <v>54</v>
      </c>
      <c r="P146">
        <v>0</v>
      </c>
      <c r="Q146" t="s">
        <v>95</v>
      </c>
      <c r="R146" t="s">
        <v>133</v>
      </c>
      <c r="S146" s="2">
        <v>-18.255238227110102</v>
      </c>
      <c r="T146" s="2">
        <v>26.9052228742163</v>
      </c>
      <c r="U146" t="str">
        <f>_xlfn.IFS(Table13[[#This Row],[Risk_Score]]&gt;80,"High",AND(Table13[[#This Row],[Risk_Score]]&lt;=80,Table13[[#This Row],[Risk_Score]]&gt;45),"Normal",Table13[[#This Row],[Risk_Score]]&lt;=45,"Low")</f>
        <v>Low</v>
      </c>
      <c r="V146" s="7">
        <f t="shared" si="2"/>
        <v>1566.0260406728401</v>
      </c>
    </row>
    <row r="147" spans="1:22">
      <c r="A147" t="s">
        <v>613</v>
      </c>
      <c r="B147" t="s">
        <v>576</v>
      </c>
      <c r="C147" t="s">
        <v>35</v>
      </c>
      <c r="D147" s="2">
        <v>49025.089982109603</v>
      </c>
      <c r="E147" s="4">
        <v>45753</v>
      </c>
      <c r="F147" t="s">
        <v>614</v>
      </c>
      <c r="G147" t="s">
        <v>68</v>
      </c>
      <c r="H147" t="s">
        <v>38</v>
      </c>
      <c r="I147" t="s">
        <v>75</v>
      </c>
      <c r="J147" t="s">
        <v>87</v>
      </c>
      <c r="K147" t="s">
        <v>615</v>
      </c>
      <c r="L147" t="s">
        <v>155</v>
      </c>
      <c r="M147" s="2">
        <v>1652.4675867716001</v>
      </c>
      <c r="N147" s="2">
        <v>158.45206886031201</v>
      </c>
      <c r="O147" t="s">
        <v>43</v>
      </c>
      <c r="P147">
        <v>1</v>
      </c>
      <c r="Q147" t="s">
        <v>31</v>
      </c>
      <c r="R147" t="s">
        <v>133</v>
      </c>
      <c r="S147" s="2">
        <v>-23.2038148161189</v>
      </c>
      <c r="T147" s="2">
        <v>18.949014589960399</v>
      </c>
      <c r="U147" t="str">
        <f>_xlfn.IFS(Table13[[#This Row],[Risk_Score]]&gt;80,"High",AND(Table13[[#This Row],[Risk_Score]]&lt;=80,Table13[[#This Row],[Risk_Score]]&gt;45),"Normal",Table13[[#This Row],[Risk_Score]]&lt;=45,"Low")</f>
        <v>Low</v>
      </c>
      <c r="V147" s="7">
        <f t="shared" si="2"/>
        <v>1494.0155179112901</v>
      </c>
    </row>
    <row r="148" spans="1:22">
      <c r="A148" t="s">
        <v>616</v>
      </c>
      <c r="B148" t="s">
        <v>459</v>
      </c>
      <c r="C148" t="s">
        <v>48</v>
      </c>
      <c r="D148" s="2">
        <v>13809.116671592899</v>
      </c>
      <c r="E148" s="4">
        <v>45755</v>
      </c>
      <c r="F148" t="s">
        <v>617</v>
      </c>
      <c r="G148" t="s">
        <v>37</v>
      </c>
      <c r="H148" t="s">
        <v>25</v>
      </c>
      <c r="I148" t="s">
        <v>99</v>
      </c>
      <c r="J148" t="s">
        <v>87</v>
      </c>
      <c r="K148" t="s">
        <v>618</v>
      </c>
      <c r="L148" t="s">
        <v>53</v>
      </c>
      <c r="M148" s="2">
        <v>1901.0383156713799</v>
      </c>
      <c r="N148" s="2">
        <v>0</v>
      </c>
      <c r="O148" t="s">
        <v>54</v>
      </c>
      <c r="P148">
        <v>3</v>
      </c>
      <c r="Q148" t="s">
        <v>55</v>
      </c>
      <c r="R148" t="s">
        <v>32</v>
      </c>
      <c r="S148" s="2">
        <v>20.301174242940998</v>
      </c>
      <c r="T148" s="2">
        <v>37.430599340632497</v>
      </c>
      <c r="U148" t="str">
        <f>_xlfn.IFS(Table13[[#This Row],[Risk_Score]]&gt;80,"High",AND(Table13[[#This Row],[Risk_Score]]&lt;=80,Table13[[#This Row],[Risk_Score]]&gt;45),"Normal",Table13[[#This Row],[Risk_Score]]&lt;=45,"Low")</f>
        <v>Low</v>
      </c>
      <c r="V148" s="7">
        <f t="shared" si="2"/>
        <v>1901.0383156713799</v>
      </c>
    </row>
    <row r="149" spans="1:22">
      <c r="A149" t="s">
        <v>619</v>
      </c>
      <c r="B149" t="s">
        <v>535</v>
      </c>
      <c r="C149" t="s">
        <v>22</v>
      </c>
      <c r="D149" s="2">
        <v>32476.259730549598</v>
      </c>
      <c r="E149" s="4">
        <v>45755</v>
      </c>
      <c r="F149" t="s">
        <v>620</v>
      </c>
      <c r="G149" t="s">
        <v>50</v>
      </c>
      <c r="H149" t="s">
        <v>38</v>
      </c>
      <c r="I149" t="s">
        <v>51</v>
      </c>
      <c r="J149" t="s">
        <v>60</v>
      </c>
      <c r="K149" t="s">
        <v>621</v>
      </c>
      <c r="L149" t="s">
        <v>120</v>
      </c>
      <c r="M149" s="2">
        <v>328.00194902139998</v>
      </c>
      <c r="N149" s="2">
        <v>0</v>
      </c>
      <c r="O149" t="s">
        <v>43</v>
      </c>
      <c r="P149">
        <v>0</v>
      </c>
      <c r="Q149" t="s">
        <v>55</v>
      </c>
      <c r="R149" t="s">
        <v>45</v>
      </c>
      <c r="S149" s="2">
        <v>-12.399082399794599</v>
      </c>
      <c r="T149" s="2">
        <v>79.578673117650197</v>
      </c>
      <c r="U149" t="str">
        <f>_xlfn.IFS(Table13[[#This Row],[Risk_Score]]&gt;80,"High",AND(Table13[[#This Row],[Risk_Score]]&lt;=80,Table13[[#This Row],[Risk_Score]]&gt;45),"Normal",Table13[[#This Row],[Risk_Score]]&lt;=45,"Low")</f>
        <v>Normal</v>
      </c>
      <c r="V149" s="7">
        <f t="shared" si="2"/>
        <v>328.00194902139998</v>
      </c>
    </row>
    <row r="150" spans="1:22">
      <c r="A150" t="s">
        <v>622</v>
      </c>
      <c r="B150" t="s">
        <v>281</v>
      </c>
      <c r="C150" t="s">
        <v>22</v>
      </c>
      <c r="D150" s="2">
        <v>34389.558719626199</v>
      </c>
      <c r="E150" s="4">
        <v>45756</v>
      </c>
      <c r="F150" t="s">
        <v>623</v>
      </c>
      <c r="G150" t="s">
        <v>181</v>
      </c>
      <c r="H150" t="s">
        <v>38</v>
      </c>
      <c r="I150" t="s">
        <v>99</v>
      </c>
      <c r="J150" t="s">
        <v>87</v>
      </c>
      <c r="K150" t="s">
        <v>624</v>
      </c>
      <c r="L150" t="s">
        <v>42</v>
      </c>
      <c r="M150" s="2">
        <v>1555.9972259446199</v>
      </c>
      <c r="N150" s="2">
        <v>146.95838025246701</v>
      </c>
      <c r="O150" t="s">
        <v>43</v>
      </c>
      <c r="P150">
        <v>0</v>
      </c>
      <c r="Q150" t="s">
        <v>31</v>
      </c>
      <c r="R150" t="s">
        <v>133</v>
      </c>
      <c r="S150" s="2">
        <v>-19.452971050177101</v>
      </c>
      <c r="T150" s="2">
        <v>16.939649963157901</v>
      </c>
      <c r="U150" t="str">
        <f>_xlfn.IFS(Table13[[#This Row],[Risk_Score]]&gt;80,"High",AND(Table13[[#This Row],[Risk_Score]]&lt;=80,Table13[[#This Row],[Risk_Score]]&gt;45),"Normal",Table13[[#This Row],[Risk_Score]]&lt;=45,"Low")</f>
        <v>Low</v>
      </c>
      <c r="V150" s="7">
        <f t="shared" si="2"/>
        <v>1409.0388456921501</v>
      </c>
    </row>
    <row r="151" spans="1:22">
      <c r="A151" t="s">
        <v>625</v>
      </c>
      <c r="B151" t="s">
        <v>353</v>
      </c>
      <c r="C151" t="s">
        <v>48</v>
      </c>
      <c r="D151" s="2">
        <v>11444.8140531964</v>
      </c>
      <c r="E151" s="4">
        <v>45756</v>
      </c>
      <c r="F151" t="s">
        <v>626</v>
      </c>
      <c r="G151" t="s">
        <v>59</v>
      </c>
      <c r="H151" t="s">
        <v>1762</v>
      </c>
      <c r="I151" t="s">
        <v>75</v>
      </c>
      <c r="J151" t="s">
        <v>87</v>
      </c>
      <c r="K151" t="s">
        <v>627</v>
      </c>
      <c r="L151" t="s">
        <v>53</v>
      </c>
      <c r="M151" s="2">
        <v>1011.65417645892</v>
      </c>
      <c r="N151" s="2">
        <v>0</v>
      </c>
      <c r="O151" t="s">
        <v>62</v>
      </c>
      <c r="P151">
        <v>1</v>
      </c>
      <c r="Q151" t="s">
        <v>1763</v>
      </c>
      <c r="R151" t="s">
        <v>133</v>
      </c>
      <c r="S151" s="2">
        <v>-9.0117987293052408</v>
      </c>
      <c r="T151" s="2">
        <v>13.174379963196399</v>
      </c>
      <c r="U151" t="str">
        <f>_xlfn.IFS(Table13[[#This Row],[Risk_Score]]&gt;80,"High",AND(Table13[[#This Row],[Risk_Score]]&lt;=80,Table13[[#This Row],[Risk_Score]]&gt;45),"Normal",Table13[[#This Row],[Risk_Score]]&lt;=45,"Low")</f>
        <v>Low</v>
      </c>
      <c r="V151" s="7">
        <f t="shared" si="2"/>
        <v>1011.65417645892</v>
      </c>
    </row>
    <row r="152" spans="1:22">
      <c r="A152" t="s">
        <v>628</v>
      </c>
      <c r="B152" t="s">
        <v>629</v>
      </c>
      <c r="C152" t="s">
        <v>35</v>
      </c>
      <c r="D152" s="2">
        <v>37975.888692388602</v>
      </c>
      <c r="E152" s="4">
        <v>45757</v>
      </c>
      <c r="F152" t="s">
        <v>630</v>
      </c>
      <c r="G152" t="s">
        <v>50</v>
      </c>
      <c r="H152" t="s">
        <v>25</v>
      </c>
      <c r="I152" t="s">
        <v>99</v>
      </c>
      <c r="J152" t="s">
        <v>60</v>
      </c>
      <c r="K152" t="s">
        <v>631</v>
      </c>
      <c r="L152" t="s">
        <v>155</v>
      </c>
      <c r="M152" s="2">
        <v>1281.65418374866</v>
      </c>
      <c r="N152" s="2">
        <v>419.419668382635</v>
      </c>
      <c r="O152" t="s">
        <v>43</v>
      </c>
      <c r="P152">
        <v>2</v>
      </c>
      <c r="Q152" t="s">
        <v>63</v>
      </c>
      <c r="R152" t="s">
        <v>32</v>
      </c>
      <c r="S152" s="2">
        <v>-28.2857449365594</v>
      </c>
      <c r="T152" s="2">
        <v>12.2628049978007</v>
      </c>
      <c r="U152" t="str">
        <f>_xlfn.IFS(Table13[[#This Row],[Risk_Score]]&gt;80,"High",AND(Table13[[#This Row],[Risk_Score]]&lt;=80,Table13[[#This Row],[Risk_Score]]&gt;45),"Normal",Table13[[#This Row],[Risk_Score]]&lt;=45,"Low")</f>
        <v>Low</v>
      </c>
      <c r="V152" s="7">
        <f t="shared" si="2"/>
        <v>862.23451536602499</v>
      </c>
    </row>
    <row r="153" spans="1:22">
      <c r="A153" t="s">
        <v>632</v>
      </c>
      <c r="B153" t="s">
        <v>285</v>
      </c>
      <c r="C153" t="s">
        <v>48</v>
      </c>
      <c r="D153" s="2">
        <v>16784.704284393101</v>
      </c>
      <c r="E153" s="4">
        <v>45759</v>
      </c>
      <c r="F153" t="s">
        <v>633</v>
      </c>
      <c r="G153" t="s">
        <v>50</v>
      </c>
      <c r="H153" t="s">
        <v>38</v>
      </c>
      <c r="I153" t="s">
        <v>51</v>
      </c>
      <c r="J153" t="s">
        <v>87</v>
      </c>
      <c r="K153" t="s">
        <v>634</v>
      </c>
      <c r="L153" t="s">
        <v>29</v>
      </c>
      <c r="M153" s="2">
        <v>1239.08619438151</v>
      </c>
      <c r="N153" s="2">
        <v>0</v>
      </c>
      <c r="O153" t="s">
        <v>43</v>
      </c>
      <c r="P153">
        <v>0</v>
      </c>
      <c r="Q153" t="s">
        <v>31</v>
      </c>
      <c r="R153" t="s">
        <v>133</v>
      </c>
      <c r="S153" s="2">
        <v>-21.0910090196829</v>
      </c>
      <c r="T153" s="2">
        <v>31.600472286639398</v>
      </c>
      <c r="U153" t="str">
        <f>_xlfn.IFS(Table13[[#This Row],[Risk_Score]]&gt;80,"High",AND(Table13[[#This Row],[Risk_Score]]&lt;=80,Table13[[#This Row],[Risk_Score]]&gt;45),"Normal",Table13[[#This Row],[Risk_Score]]&lt;=45,"Low")</f>
        <v>Low</v>
      </c>
      <c r="V153" s="7">
        <f t="shared" si="2"/>
        <v>1239.08619438151</v>
      </c>
    </row>
    <row r="154" spans="1:22">
      <c r="A154" t="s">
        <v>635</v>
      </c>
      <c r="B154" t="s">
        <v>636</v>
      </c>
      <c r="C154" t="s">
        <v>85</v>
      </c>
      <c r="D154" s="2">
        <v>48136.200995888197</v>
      </c>
      <c r="E154" s="4">
        <v>45760</v>
      </c>
      <c r="F154" t="s">
        <v>637</v>
      </c>
      <c r="G154" t="s">
        <v>68</v>
      </c>
      <c r="H154" t="s">
        <v>25</v>
      </c>
      <c r="I154" t="s">
        <v>99</v>
      </c>
      <c r="J154" t="s">
        <v>87</v>
      </c>
      <c r="K154" t="s">
        <v>638</v>
      </c>
      <c r="L154" t="s">
        <v>42</v>
      </c>
      <c r="M154" s="2">
        <v>4155.4564932047497</v>
      </c>
      <c r="N154" s="2">
        <v>323.15496682869099</v>
      </c>
      <c r="O154" t="s">
        <v>62</v>
      </c>
      <c r="P154">
        <v>4</v>
      </c>
      <c r="Q154" t="s">
        <v>63</v>
      </c>
      <c r="R154" t="s">
        <v>45</v>
      </c>
      <c r="S154" s="2">
        <v>20.014446578744199</v>
      </c>
      <c r="T154" s="2">
        <v>66.350206940525695</v>
      </c>
      <c r="U154" t="str">
        <f>_xlfn.IFS(Table13[[#This Row],[Risk_Score]]&gt;80,"High",AND(Table13[[#This Row],[Risk_Score]]&lt;=80,Table13[[#This Row],[Risk_Score]]&gt;45),"Normal",Table13[[#This Row],[Risk_Score]]&lt;=45,"Low")</f>
        <v>Normal</v>
      </c>
      <c r="V154" s="7">
        <f t="shared" si="2"/>
        <v>3832.3015263760599</v>
      </c>
    </row>
    <row r="155" spans="1:22">
      <c r="A155" t="s">
        <v>639</v>
      </c>
      <c r="B155" t="s">
        <v>126</v>
      </c>
      <c r="C155" t="s">
        <v>48</v>
      </c>
      <c r="D155" s="2">
        <v>45666.971037656403</v>
      </c>
      <c r="E155" s="4">
        <v>45760</v>
      </c>
      <c r="F155" t="s">
        <v>640</v>
      </c>
      <c r="G155" t="s">
        <v>181</v>
      </c>
      <c r="H155" t="s">
        <v>38</v>
      </c>
      <c r="I155" t="s">
        <v>99</v>
      </c>
      <c r="J155" t="s">
        <v>87</v>
      </c>
      <c r="K155" t="s">
        <v>641</v>
      </c>
      <c r="L155" t="s">
        <v>53</v>
      </c>
      <c r="M155" s="2">
        <v>249.43028138598399</v>
      </c>
      <c r="N155" s="2">
        <v>0</v>
      </c>
      <c r="O155" t="s">
        <v>62</v>
      </c>
      <c r="P155">
        <v>4</v>
      </c>
      <c r="Q155" t="s">
        <v>31</v>
      </c>
      <c r="R155" t="s">
        <v>133</v>
      </c>
      <c r="S155" s="2">
        <v>-27.721441945823599</v>
      </c>
      <c r="T155" s="2">
        <v>60.8350046531679</v>
      </c>
      <c r="U155" t="str">
        <f>_xlfn.IFS(Table13[[#This Row],[Risk_Score]]&gt;80,"High",AND(Table13[[#This Row],[Risk_Score]]&lt;=80,Table13[[#This Row],[Risk_Score]]&gt;45),"Normal",Table13[[#This Row],[Risk_Score]]&lt;=45,"Low")</f>
        <v>Normal</v>
      </c>
      <c r="V155" s="7">
        <f t="shared" si="2"/>
        <v>249.43028138598399</v>
      </c>
    </row>
    <row r="156" spans="1:22">
      <c r="A156" t="s">
        <v>642</v>
      </c>
      <c r="B156" t="s">
        <v>117</v>
      </c>
      <c r="C156" t="s">
        <v>48</v>
      </c>
      <c r="D156" s="2">
        <v>29251.554287236999</v>
      </c>
      <c r="E156" s="4">
        <v>45762</v>
      </c>
      <c r="F156" t="s">
        <v>643</v>
      </c>
      <c r="G156" t="s">
        <v>181</v>
      </c>
      <c r="H156" t="s">
        <v>38</v>
      </c>
      <c r="I156" t="s">
        <v>99</v>
      </c>
      <c r="J156" t="s">
        <v>87</v>
      </c>
      <c r="K156" t="s">
        <v>644</v>
      </c>
      <c r="L156" t="s">
        <v>29</v>
      </c>
      <c r="M156" s="2">
        <v>2661.4400625471299</v>
      </c>
      <c r="N156" s="2">
        <v>0</v>
      </c>
      <c r="O156" t="s">
        <v>62</v>
      </c>
      <c r="P156">
        <v>3</v>
      </c>
      <c r="Q156" t="s">
        <v>31</v>
      </c>
      <c r="R156" t="s">
        <v>45</v>
      </c>
      <c r="S156" s="2">
        <v>-3.6833138436213799</v>
      </c>
      <c r="T156" s="2">
        <v>0.65254104288869896</v>
      </c>
      <c r="U156" t="str">
        <f>_xlfn.IFS(Table13[[#This Row],[Risk_Score]]&gt;80,"High",AND(Table13[[#This Row],[Risk_Score]]&lt;=80,Table13[[#This Row],[Risk_Score]]&gt;45),"Normal",Table13[[#This Row],[Risk_Score]]&lt;=45,"Low")</f>
        <v>Low</v>
      </c>
      <c r="V156" s="7">
        <f t="shared" si="2"/>
        <v>2661.4400625471299</v>
      </c>
    </row>
    <row r="157" spans="1:22">
      <c r="A157" t="s">
        <v>645</v>
      </c>
      <c r="B157" t="s">
        <v>399</v>
      </c>
      <c r="C157" t="s">
        <v>22</v>
      </c>
      <c r="D157" s="2">
        <v>23764.441704148401</v>
      </c>
      <c r="E157" s="4">
        <v>45762</v>
      </c>
      <c r="F157" t="s">
        <v>646</v>
      </c>
      <c r="G157" t="s">
        <v>68</v>
      </c>
      <c r="H157" t="s">
        <v>25</v>
      </c>
      <c r="I157" t="s">
        <v>99</v>
      </c>
      <c r="J157" t="s">
        <v>60</v>
      </c>
      <c r="K157" t="s">
        <v>647</v>
      </c>
      <c r="L157" t="s">
        <v>81</v>
      </c>
      <c r="M157" s="2">
        <v>1362.1523574759301</v>
      </c>
      <c r="N157" s="2">
        <v>0</v>
      </c>
      <c r="O157" t="s">
        <v>62</v>
      </c>
      <c r="P157">
        <v>2</v>
      </c>
      <c r="Q157" t="s">
        <v>1763</v>
      </c>
      <c r="R157" t="s">
        <v>32</v>
      </c>
      <c r="S157" s="2">
        <v>19.604545714551399</v>
      </c>
      <c r="T157" s="2">
        <v>81.188964356831704</v>
      </c>
      <c r="U157" t="str">
        <f>_xlfn.IFS(Table13[[#This Row],[Risk_Score]]&gt;80,"High",AND(Table13[[#This Row],[Risk_Score]]&lt;=80,Table13[[#This Row],[Risk_Score]]&gt;45),"Normal",Table13[[#This Row],[Risk_Score]]&lt;=45,"Low")</f>
        <v>High</v>
      </c>
      <c r="V157" s="7">
        <f t="shared" si="2"/>
        <v>1362.1523574759301</v>
      </c>
    </row>
    <row r="158" spans="1:22">
      <c r="A158" t="s">
        <v>648</v>
      </c>
      <c r="B158" t="s">
        <v>649</v>
      </c>
      <c r="C158" t="s">
        <v>48</v>
      </c>
      <c r="D158" s="2">
        <v>42421.591963797502</v>
      </c>
      <c r="E158" s="4">
        <v>45763</v>
      </c>
      <c r="F158" t="s">
        <v>650</v>
      </c>
      <c r="G158" t="s">
        <v>68</v>
      </c>
      <c r="H158" t="s">
        <v>38</v>
      </c>
      <c r="I158" t="s">
        <v>99</v>
      </c>
      <c r="J158" t="s">
        <v>87</v>
      </c>
      <c r="K158" t="s">
        <v>651</v>
      </c>
      <c r="L158" t="s">
        <v>29</v>
      </c>
      <c r="M158" s="2">
        <v>3991.6882839048999</v>
      </c>
      <c r="N158" s="2">
        <v>0</v>
      </c>
      <c r="O158" t="s">
        <v>54</v>
      </c>
      <c r="P158">
        <v>1</v>
      </c>
      <c r="Q158" t="s">
        <v>95</v>
      </c>
      <c r="R158" t="s">
        <v>133</v>
      </c>
      <c r="S158" s="2">
        <v>29.0239112398204</v>
      </c>
      <c r="T158" s="2">
        <v>87.992956363837393</v>
      </c>
      <c r="U158" t="str">
        <f>_xlfn.IFS(Table13[[#This Row],[Risk_Score]]&gt;80,"High",AND(Table13[[#This Row],[Risk_Score]]&lt;=80,Table13[[#This Row],[Risk_Score]]&gt;45),"Normal",Table13[[#This Row],[Risk_Score]]&lt;=45,"Low")</f>
        <v>High</v>
      </c>
      <c r="V158" s="7">
        <f t="shared" si="2"/>
        <v>3991.6882839048999</v>
      </c>
    </row>
    <row r="159" spans="1:22">
      <c r="A159" t="s">
        <v>652</v>
      </c>
      <c r="B159" t="s">
        <v>241</v>
      </c>
      <c r="C159" t="s">
        <v>85</v>
      </c>
      <c r="D159" s="2">
        <v>229.491716743963</v>
      </c>
      <c r="E159" s="4">
        <v>45764</v>
      </c>
      <c r="F159" t="s">
        <v>653</v>
      </c>
      <c r="G159" t="s">
        <v>37</v>
      </c>
      <c r="H159" t="s">
        <v>25</v>
      </c>
      <c r="I159" t="s">
        <v>99</v>
      </c>
      <c r="J159" t="s">
        <v>87</v>
      </c>
      <c r="K159" t="s">
        <v>654</v>
      </c>
      <c r="L159" t="s">
        <v>42</v>
      </c>
      <c r="M159" s="2">
        <v>3198.4343445786799</v>
      </c>
      <c r="N159" s="2">
        <v>0</v>
      </c>
      <c r="O159" t="s">
        <v>43</v>
      </c>
      <c r="P159">
        <v>2</v>
      </c>
      <c r="Q159" t="s">
        <v>44</v>
      </c>
      <c r="R159" t="s">
        <v>133</v>
      </c>
      <c r="S159" s="2">
        <v>18.464357592042902</v>
      </c>
      <c r="T159" s="2">
        <v>97.430496311047705</v>
      </c>
      <c r="U159" t="str">
        <f>_xlfn.IFS(Table13[[#This Row],[Risk_Score]]&gt;80,"High",AND(Table13[[#This Row],[Risk_Score]]&lt;=80,Table13[[#This Row],[Risk_Score]]&gt;45),"Normal",Table13[[#This Row],[Risk_Score]]&lt;=45,"Low")</f>
        <v>High</v>
      </c>
      <c r="V159" s="7">
        <f t="shared" si="2"/>
        <v>3198.4343445786799</v>
      </c>
    </row>
    <row r="160" spans="1:22">
      <c r="A160" t="s">
        <v>655</v>
      </c>
      <c r="B160" t="s">
        <v>656</v>
      </c>
      <c r="C160" t="s">
        <v>85</v>
      </c>
      <c r="D160" s="2">
        <v>12130.133133248601</v>
      </c>
      <c r="E160" s="4">
        <v>45765</v>
      </c>
      <c r="F160" t="s">
        <v>657</v>
      </c>
      <c r="G160" t="s">
        <v>68</v>
      </c>
      <c r="H160" t="s">
        <v>25</v>
      </c>
      <c r="I160" t="s">
        <v>51</v>
      </c>
      <c r="J160" t="s">
        <v>87</v>
      </c>
      <c r="K160" t="s">
        <v>658</v>
      </c>
      <c r="L160" t="s">
        <v>81</v>
      </c>
      <c r="M160" s="2">
        <v>4028.5884182582199</v>
      </c>
      <c r="N160" s="2">
        <v>205.572168239993</v>
      </c>
      <c r="O160" t="s">
        <v>43</v>
      </c>
      <c r="P160">
        <v>3</v>
      </c>
      <c r="Q160" t="s">
        <v>95</v>
      </c>
      <c r="R160" t="s">
        <v>32</v>
      </c>
      <c r="S160" s="2">
        <v>-27.4097825482235</v>
      </c>
      <c r="T160" s="2">
        <v>99.758259294597195</v>
      </c>
      <c r="U160" t="str">
        <f>_xlfn.IFS(Table13[[#This Row],[Risk_Score]]&gt;80,"High",AND(Table13[[#This Row],[Risk_Score]]&lt;=80,Table13[[#This Row],[Risk_Score]]&gt;45),"Normal",Table13[[#This Row],[Risk_Score]]&lt;=45,"Low")</f>
        <v>High</v>
      </c>
      <c r="V160" s="7">
        <f t="shared" si="2"/>
        <v>3823.01625001823</v>
      </c>
    </row>
    <row r="161" spans="1:22">
      <c r="A161" t="s">
        <v>659</v>
      </c>
      <c r="B161" t="s">
        <v>459</v>
      </c>
      <c r="C161" t="s">
        <v>35</v>
      </c>
      <c r="D161" s="2">
        <v>4511.57034594577</v>
      </c>
      <c r="E161" s="4">
        <v>45765</v>
      </c>
      <c r="F161" t="s">
        <v>660</v>
      </c>
      <c r="G161" t="s">
        <v>181</v>
      </c>
      <c r="H161" t="s">
        <v>25</v>
      </c>
      <c r="I161" t="s">
        <v>51</v>
      </c>
      <c r="J161" t="s">
        <v>87</v>
      </c>
      <c r="K161" t="s">
        <v>661</v>
      </c>
      <c r="L161" t="s">
        <v>53</v>
      </c>
      <c r="M161" s="2">
        <v>1072.5760302978099</v>
      </c>
      <c r="N161" s="2">
        <v>477.33317843953398</v>
      </c>
      <c r="O161" t="s">
        <v>43</v>
      </c>
      <c r="P161">
        <v>1</v>
      </c>
      <c r="Q161" t="s">
        <v>1763</v>
      </c>
      <c r="R161" t="s">
        <v>45</v>
      </c>
      <c r="S161" s="2">
        <v>13.439349854141501</v>
      </c>
      <c r="T161" s="2">
        <v>60.251136357472902</v>
      </c>
      <c r="U161" t="str">
        <f>_xlfn.IFS(Table13[[#This Row],[Risk_Score]]&gt;80,"High",AND(Table13[[#This Row],[Risk_Score]]&lt;=80,Table13[[#This Row],[Risk_Score]]&gt;45),"Normal",Table13[[#This Row],[Risk_Score]]&lt;=45,"Low")</f>
        <v>Normal</v>
      </c>
      <c r="V161" s="7">
        <f t="shared" si="2"/>
        <v>595.24285185827603</v>
      </c>
    </row>
    <row r="162" spans="1:22">
      <c r="A162" t="s">
        <v>662</v>
      </c>
      <c r="B162" t="s">
        <v>663</v>
      </c>
      <c r="C162" t="s">
        <v>22</v>
      </c>
      <c r="D162" s="2">
        <v>5800.4725034277999</v>
      </c>
      <c r="E162" s="4">
        <v>45768</v>
      </c>
      <c r="F162" t="s">
        <v>664</v>
      </c>
      <c r="G162" t="s">
        <v>163</v>
      </c>
      <c r="H162" t="s">
        <v>38</v>
      </c>
      <c r="I162" t="s">
        <v>26</v>
      </c>
      <c r="J162" t="s">
        <v>87</v>
      </c>
      <c r="K162" t="s">
        <v>665</v>
      </c>
      <c r="L162" t="s">
        <v>120</v>
      </c>
      <c r="M162" s="2">
        <v>608.57377655892606</v>
      </c>
      <c r="N162" s="2">
        <v>0</v>
      </c>
      <c r="O162" t="s">
        <v>62</v>
      </c>
      <c r="P162">
        <v>0</v>
      </c>
      <c r="Q162" t="s">
        <v>95</v>
      </c>
      <c r="R162" t="s">
        <v>45</v>
      </c>
      <c r="S162" s="2">
        <v>21.231959611512199</v>
      </c>
      <c r="T162" s="2">
        <v>35.201658250187798</v>
      </c>
      <c r="U162" t="str">
        <f>_xlfn.IFS(Table13[[#This Row],[Risk_Score]]&gt;80,"High",AND(Table13[[#This Row],[Risk_Score]]&lt;=80,Table13[[#This Row],[Risk_Score]]&gt;45),"Normal",Table13[[#This Row],[Risk_Score]]&lt;=45,"Low")</f>
        <v>Low</v>
      </c>
      <c r="V162" s="7">
        <f t="shared" si="2"/>
        <v>608.57377655892606</v>
      </c>
    </row>
    <row r="163" spans="1:22">
      <c r="A163" t="s">
        <v>666</v>
      </c>
      <c r="B163" t="s">
        <v>667</v>
      </c>
      <c r="C163" t="s">
        <v>85</v>
      </c>
      <c r="D163" s="2">
        <v>29456.503122173301</v>
      </c>
      <c r="E163" s="4">
        <v>45770</v>
      </c>
      <c r="F163" t="s">
        <v>668</v>
      </c>
      <c r="G163" t="s">
        <v>59</v>
      </c>
      <c r="H163" t="s">
        <v>25</v>
      </c>
      <c r="I163" t="s">
        <v>51</v>
      </c>
      <c r="J163" t="s">
        <v>87</v>
      </c>
      <c r="K163" t="s">
        <v>669</v>
      </c>
      <c r="L163" t="s">
        <v>120</v>
      </c>
      <c r="M163" s="2">
        <v>4959.8515199400799</v>
      </c>
      <c r="N163" s="2">
        <v>0</v>
      </c>
      <c r="O163" t="s">
        <v>43</v>
      </c>
      <c r="P163">
        <v>3</v>
      </c>
      <c r="Q163" t="s">
        <v>31</v>
      </c>
      <c r="R163" t="s">
        <v>32</v>
      </c>
      <c r="S163" s="2">
        <v>2.8443843600735099</v>
      </c>
      <c r="T163" s="2">
        <v>95.464016071623107</v>
      </c>
      <c r="U163" t="str">
        <f>_xlfn.IFS(Table13[[#This Row],[Risk_Score]]&gt;80,"High",AND(Table13[[#This Row],[Risk_Score]]&lt;=80,Table13[[#This Row],[Risk_Score]]&gt;45),"Normal",Table13[[#This Row],[Risk_Score]]&lt;=45,"Low")</f>
        <v>High</v>
      </c>
      <c r="V163" s="7">
        <f t="shared" si="2"/>
        <v>4959.8515199400799</v>
      </c>
    </row>
    <row r="164" spans="1:22">
      <c r="A164" t="s">
        <v>670</v>
      </c>
      <c r="B164" t="s">
        <v>593</v>
      </c>
      <c r="C164" t="s">
        <v>48</v>
      </c>
      <c r="D164" s="2">
        <v>49863.051184942902</v>
      </c>
      <c r="E164" s="4">
        <v>45771</v>
      </c>
      <c r="F164" t="s">
        <v>671</v>
      </c>
      <c r="G164" t="s">
        <v>24</v>
      </c>
      <c r="H164" t="s">
        <v>25</v>
      </c>
      <c r="I164" t="s">
        <v>75</v>
      </c>
      <c r="J164" t="s">
        <v>60</v>
      </c>
      <c r="K164" t="s">
        <v>672</v>
      </c>
      <c r="L164" t="s">
        <v>42</v>
      </c>
      <c r="M164" s="2">
        <v>1592.2801109320301</v>
      </c>
      <c r="N164" s="2">
        <v>0</v>
      </c>
      <c r="O164" t="s">
        <v>54</v>
      </c>
      <c r="P164">
        <v>2</v>
      </c>
      <c r="Q164" t="s">
        <v>55</v>
      </c>
      <c r="R164" t="s">
        <v>133</v>
      </c>
      <c r="S164" s="2">
        <v>15.8786143568467</v>
      </c>
      <c r="T164" s="2">
        <v>95.959420502774094</v>
      </c>
      <c r="U164" t="str">
        <f>_xlfn.IFS(Table13[[#This Row],[Risk_Score]]&gt;80,"High",AND(Table13[[#This Row],[Risk_Score]]&lt;=80,Table13[[#This Row],[Risk_Score]]&gt;45),"Normal",Table13[[#This Row],[Risk_Score]]&lt;=45,"Low")</f>
        <v>High</v>
      </c>
      <c r="V164" s="7">
        <f t="shared" si="2"/>
        <v>1592.2801109320301</v>
      </c>
    </row>
    <row r="165" spans="1:22">
      <c r="A165" t="s">
        <v>673</v>
      </c>
      <c r="B165" t="s">
        <v>674</v>
      </c>
      <c r="C165" t="s">
        <v>22</v>
      </c>
      <c r="D165" s="2">
        <v>24588.364085013302</v>
      </c>
      <c r="E165" s="4">
        <v>45772</v>
      </c>
      <c r="F165" t="s">
        <v>675</v>
      </c>
      <c r="G165" t="s">
        <v>59</v>
      </c>
      <c r="H165" t="s">
        <v>1762</v>
      </c>
      <c r="I165" t="s">
        <v>26</v>
      </c>
      <c r="J165" t="s">
        <v>60</v>
      </c>
      <c r="K165" t="s">
        <v>676</v>
      </c>
      <c r="L165" t="s">
        <v>155</v>
      </c>
      <c r="M165" s="2">
        <v>2419.5890469293399</v>
      </c>
      <c r="N165" s="2">
        <v>137.332934893953</v>
      </c>
      <c r="O165" t="s">
        <v>62</v>
      </c>
      <c r="P165">
        <v>3</v>
      </c>
      <c r="Q165" t="s">
        <v>44</v>
      </c>
      <c r="R165" t="s">
        <v>133</v>
      </c>
      <c r="S165" s="2">
        <v>-20.125311317189801</v>
      </c>
      <c r="T165" s="2">
        <v>72.697791952843104</v>
      </c>
      <c r="U165" t="str">
        <f>_xlfn.IFS(Table13[[#This Row],[Risk_Score]]&gt;80,"High",AND(Table13[[#This Row],[Risk_Score]]&lt;=80,Table13[[#This Row],[Risk_Score]]&gt;45),"Normal",Table13[[#This Row],[Risk_Score]]&lt;=45,"Low")</f>
        <v>Normal</v>
      </c>
      <c r="V165" s="7">
        <f t="shared" si="2"/>
        <v>2282.2561120353898</v>
      </c>
    </row>
    <row r="166" spans="1:22">
      <c r="A166" t="s">
        <v>677</v>
      </c>
      <c r="B166" t="s">
        <v>678</v>
      </c>
      <c r="C166" t="s">
        <v>35</v>
      </c>
      <c r="D166" s="2">
        <v>30199.550368631299</v>
      </c>
      <c r="E166" s="4">
        <v>45773</v>
      </c>
      <c r="F166" t="s">
        <v>679</v>
      </c>
      <c r="G166" t="s">
        <v>59</v>
      </c>
      <c r="H166" t="s">
        <v>1762</v>
      </c>
      <c r="I166" t="s">
        <v>99</v>
      </c>
      <c r="J166" t="s">
        <v>87</v>
      </c>
      <c r="K166" t="s">
        <v>680</v>
      </c>
      <c r="L166" t="s">
        <v>155</v>
      </c>
      <c r="M166" s="2">
        <v>1345.66794566569</v>
      </c>
      <c r="N166" s="2">
        <v>0</v>
      </c>
      <c r="O166" t="s">
        <v>54</v>
      </c>
      <c r="P166">
        <v>0</v>
      </c>
      <c r="Q166" t="s">
        <v>63</v>
      </c>
      <c r="R166" t="s">
        <v>32</v>
      </c>
      <c r="S166" s="2">
        <v>15.6363948834037</v>
      </c>
      <c r="T166" s="2">
        <v>99.189285731964205</v>
      </c>
      <c r="U166" t="str">
        <f>_xlfn.IFS(Table13[[#This Row],[Risk_Score]]&gt;80,"High",AND(Table13[[#This Row],[Risk_Score]]&lt;=80,Table13[[#This Row],[Risk_Score]]&gt;45),"Normal",Table13[[#This Row],[Risk_Score]]&lt;=45,"Low")</f>
        <v>High</v>
      </c>
      <c r="V166" s="7">
        <f t="shared" si="2"/>
        <v>1345.66794566569</v>
      </c>
    </row>
    <row r="167" spans="1:22">
      <c r="A167" t="s">
        <v>681</v>
      </c>
      <c r="B167" t="s">
        <v>72</v>
      </c>
      <c r="C167" t="s">
        <v>48</v>
      </c>
      <c r="D167" s="2">
        <v>17641.8540405975</v>
      </c>
      <c r="E167" s="4">
        <v>45774</v>
      </c>
      <c r="F167" t="s">
        <v>682</v>
      </c>
      <c r="G167" t="s">
        <v>68</v>
      </c>
      <c r="H167" t="s">
        <v>38</v>
      </c>
      <c r="I167" t="s">
        <v>99</v>
      </c>
      <c r="J167" t="s">
        <v>60</v>
      </c>
      <c r="K167" t="s">
        <v>683</v>
      </c>
      <c r="L167" t="s">
        <v>120</v>
      </c>
      <c r="M167" s="2">
        <v>1004.70931501359</v>
      </c>
      <c r="N167" s="2">
        <v>0</v>
      </c>
      <c r="O167" t="s">
        <v>62</v>
      </c>
      <c r="P167">
        <v>2</v>
      </c>
      <c r="Q167" t="s">
        <v>63</v>
      </c>
      <c r="R167" t="s">
        <v>133</v>
      </c>
      <c r="S167" s="2">
        <v>-12.455094966945101</v>
      </c>
      <c r="T167" s="2">
        <v>5.2756614832090802</v>
      </c>
      <c r="U167" t="str">
        <f>_xlfn.IFS(Table13[[#This Row],[Risk_Score]]&gt;80,"High",AND(Table13[[#This Row],[Risk_Score]]&lt;=80,Table13[[#This Row],[Risk_Score]]&gt;45),"Normal",Table13[[#This Row],[Risk_Score]]&lt;=45,"Low")</f>
        <v>Low</v>
      </c>
      <c r="V167" s="7">
        <f t="shared" si="2"/>
        <v>1004.70931501359</v>
      </c>
    </row>
    <row r="168" spans="1:22">
      <c r="A168" t="s">
        <v>684</v>
      </c>
      <c r="B168" t="s">
        <v>685</v>
      </c>
      <c r="C168" t="s">
        <v>48</v>
      </c>
      <c r="D168" s="2">
        <v>15565.8526208037</v>
      </c>
      <c r="E168" s="4">
        <v>45774</v>
      </c>
      <c r="F168" t="s">
        <v>686</v>
      </c>
      <c r="G168" t="s">
        <v>181</v>
      </c>
      <c r="H168" t="s">
        <v>1762</v>
      </c>
      <c r="I168" t="s">
        <v>99</v>
      </c>
      <c r="J168" t="s">
        <v>60</v>
      </c>
      <c r="K168" t="s">
        <v>687</v>
      </c>
      <c r="L168" t="s">
        <v>42</v>
      </c>
      <c r="M168" s="2">
        <v>4275.5900172584998</v>
      </c>
      <c r="N168" s="2">
        <v>305.188029890846</v>
      </c>
      <c r="O168" t="s">
        <v>62</v>
      </c>
      <c r="P168">
        <v>4</v>
      </c>
      <c r="Q168" t="s">
        <v>31</v>
      </c>
      <c r="R168" t="s">
        <v>133</v>
      </c>
      <c r="S168" s="2">
        <v>0.79020097983386295</v>
      </c>
      <c r="T168" s="2">
        <v>30.9559301513073</v>
      </c>
      <c r="U168" t="str">
        <f>_xlfn.IFS(Table13[[#This Row],[Risk_Score]]&gt;80,"High",AND(Table13[[#This Row],[Risk_Score]]&lt;=80,Table13[[#This Row],[Risk_Score]]&gt;45),"Normal",Table13[[#This Row],[Risk_Score]]&lt;=45,"Low")</f>
        <v>Low</v>
      </c>
      <c r="V168" s="7">
        <f t="shared" si="2"/>
        <v>3970.4019873676498</v>
      </c>
    </row>
    <row r="169" spans="1:22">
      <c r="A169" t="s">
        <v>688</v>
      </c>
      <c r="B169" t="s">
        <v>582</v>
      </c>
      <c r="C169" t="s">
        <v>35</v>
      </c>
      <c r="D169" s="2">
        <v>28497.165311370802</v>
      </c>
      <c r="E169" s="4">
        <v>45774</v>
      </c>
      <c r="F169" t="s">
        <v>689</v>
      </c>
      <c r="G169" t="s">
        <v>92</v>
      </c>
      <c r="H169" t="s">
        <v>25</v>
      </c>
      <c r="I169" t="s">
        <v>26</v>
      </c>
      <c r="J169" t="s">
        <v>60</v>
      </c>
      <c r="K169" t="s">
        <v>690</v>
      </c>
      <c r="L169" t="s">
        <v>42</v>
      </c>
      <c r="M169" s="2">
        <v>332.72995868369401</v>
      </c>
      <c r="N169" s="2">
        <v>62.821746206157002</v>
      </c>
      <c r="O169" t="s">
        <v>43</v>
      </c>
      <c r="P169">
        <v>2</v>
      </c>
      <c r="Q169" t="s">
        <v>55</v>
      </c>
      <c r="R169" t="s">
        <v>133</v>
      </c>
      <c r="S169" s="2">
        <v>-29.460080563004599</v>
      </c>
      <c r="T169" s="2">
        <v>73.427203053071494</v>
      </c>
      <c r="U169" t="str">
        <f>_xlfn.IFS(Table13[[#This Row],[Risk_Score]]&gt;80,"High",AND(Table13[[#This Row],[Risk_Score]]&lt;=80,Table13[[#This Row],[Risk_Score]]&gt;45),"Normal",Table13[[#This Row],[Risk_Score]]&lt;=45,"Low")</f>
        <v>Normal</v>
      </c>
      <c r="V169" s="7">
        <f t="shared" si="2"/>
        <v>269.90821247753701</v>
      </c>
    </row>
    <row r="170" spans="1:22">
      <c r="A170" t="s">
        <v>691</v>
      </c>
      <c r="B170" t="s">
        <v>692</v>
      </c>
      <c r="C170" t="s">
        <v>48</v>
      </c>
      <c r="D170" s="2">
        <v>7086.92507915641</v>
      </c>
      <c r="E170" s="4">
        <v>45776</v>
      </c>
      <c r="F170" t="s">
        <v>693</v>
      </c>
      <c r="G170" t="s">
        <v>59</v>
      </c>
      <c r="H170" t="s">
        <v>25</v>
      </c>
      <c r="I170" t="s">
        <v>26</v>
      </c>
      <c r="J170" t="s">
        <v>60</v>
      </c>
      <c r="K170" t="s">
        <v>694</v>
      </c>
      <c r="L170" t="s">
        <v>120</v>
      </c>
      <c r="M170" s="2">
        <v>4696.6374451014699</v>
      </c>
      <c r="N170" s="2">
        <v>0</v>
      </c>
      <c r="O170" t="s">
        <v>43</v>
      </c>
      <c r="P170">
        <v>1</v>
      </c>
      <c r="Q170" t="s">
        <v>44</v>
      </c>
      <c r="R170" t="s">
        <v>45</v>
      </c>
      <c r="S170" s="2">
        <v>28.2909814082483</v>
      </c>
      <c r="T170" s="2">
        <v>34.534397792633001</v>
      </c>
      <c r="U170" t="str">
        <f>_xlfn.IFS(Table13[[#This Row],[Risk_Score]]&gt;80,"High",AND(Table13[[#This Row],[Risk_Score]]&lt;=80,Table13[[#This Row],[Risk_Score]]&gt;45),"Normal",Table13[[#This Row],[Risk_Score]]&lt;=45,"Low")</f>
        <v>Low</v>
      </c>
      <c r="V170" s="7">
        <f t="shared" si="2"/>
        <v>4696.6374451014699</v>
      </c>
    </row>
    <row r="171" spans="1:22">
      <c r="A171" t="s">
        <v>695</v>
      </c>
      <c r="B171" t="s">
        <v>589</v>
      </c>
      <c r="C171" t="s">
        <v>22</v>
      </c>
      <c r="D171" s="2">
        <v>35731.797702958298</v>
      </c>
      <c r="E171" s="4">
        <v>45777</v>
      </c>
      <c r="F171" t="s">
        <v>696</v>
      </c>
      <c r="G171" t="s">
        <v>172</v>
      </c>
      <c r="H171" t="s">
        <v>1762</v>
      </c>
      <c r="I171" t="s">
        <v>99</v>
      </c>
      <c r="J171" t="s">
        <v>60</v>
      </c>
      <c r="K171" t="s">
        <v>697</v>
      </c>
      <c r="L171" t="s">
        <v>155</v>
      </c>
      <c r="M171" s="2">
        <v>900.78873507282503</v>
      </c>
      <c r="N171" s="2">
        <v>0</v>
      </c>
      <c r="O171" t="s">
        <v>62</v>
      </c>
      <c r="P171">
        <v>3</v>
      </c>
      <c r="Q171" t="s">
        <v>31</v>
      </c>
      <c r="R171" t="s">
        <v>32</v>
      </c>
      <c r="S171" s="2">
        <v>6.4617542098564797</v>
      </c>
      <c r="T171" s="2">
        <v>54.098623552808398</v>
      </c>
      <c r="U171" t="str">
        <f>_xlfn.IFS(Table13[[#This Row],[Risk_Score]]&gt;80,"High",AND(Table13[[#This Row],[Risk_Score]]&lt;=80,Table13[[#This Row],[Risk_Score]]&gt;45),"Normal",Table13[[#This Row],[Risk_Score]]&lt;=45,"Low")</f>
        <v>Normal</v>
      </c>
      <c r="V171" s="7">
        <f t="shared" si="2"/>
        <v>900.78873507282503</v>
      </c>
    </row>
    <row r="172" spans="1:22">
      <c r="A172" t="s">
        <v>698</v>
      </c>
      <c r="B172" t="s">
        <v>47</v>
      </c>
      <c r="C172" t="s">
        <v>48</v>
      </c>
      <c r="D172" s="2">
        <v>26813.244644374601</v>
      </c>
      <c r="E172" s="4">
        <v>45777</v>
      </c>
      <c r="F172" t="s">
        <v>699</v>
      </c>
      <c r="G172" t="s">
        <v>24</v>
      </c>
      <c r="H172" t="s">
        <v>1762</v>
      </c>
      <c r="I172" t="s">
        <v>26</v>
      </c>
      <c r="J172" t="s">
        <v>87</v>
      </c>
      <c r="K172" t="s">
        <v>700</v>
      </c>
      <c r="L172" t="s">
        <v>120</v>
      </c>
      <c r="M172" s="2">
        <v>4889.0703037079602</v>
      </c>
      <c r="N172" s="2">
        <v>0</v>
      </c>
      <c r="O172" t="s">
        <v>43</v>
      </c>
      <c r="P172">
        <v>0</v>
      </c>
      <c r="Q172" t="s">
        <v>95</v>
      </c>
      <c r="R172" t="s">
        <v>133</v>
      </c>
      <c r="S172" s="2">
        <v>14.0585993389865</v>
      </c>
      <c r="T172" s="2">
        <v>71.126582471045296</v>
      </c>
      <c r="U172" t="str">
        <f>_xlfn.IFS(Table13[[#This Row],[Risk_Score]]&gt;80,"High",AND(Table13[[#This Row],[Risk_Score]]&lt;=80,Table13[[#This Row],[Risk_Score]]&gt;45),"Normal",Table13[[#This Row],[Risk_Score]]&lt;=45,"Low")</f>
        <v>Normal</v>
      </c>
      <c r="V172" s="7">
        <f t="shared" si="2"/>
        <v>4889.0703037079602</v>
      </c>
    </row>
    <row r="173" spans="1:22">
      <c r="A173" t="s">
        <v>701</v>
      </c>
      <c r="B173" t="s">
        <v>702</v>
      </c>
      <c r="C173" t="s">
        <v>85</v>
      </c>
      <c r="D173" s="2">
        <v>31698.714668056899</v>
      </c>
      <c r="E173" s="4">
        <v>45779</v>
      </c>
      <c r="F173" t="s">
        <v>703</v>
      </c>
      <c r="G173" t="s">
        <v>24</v>
      </c>
      <c r="H173" t="s">
        <v>1762</v>
      </c>
      <c r="I173" t="s">
        <v>26</v>
      </c>
      <c r="J173" t="s">
        <v>60</v>
      </c>
      <c r="K173" t="s">
        <v>704</v>
      </c>
      <c r="L173" t="s">
        <v>120</v>
      </c>
      <c r="M173" s="2">
        <v>1595.3498247426201</v>
      </c>
      <c r="N173" s="2">
        <v>0</v>
      </c>
      <c r="O173" t="s">
        <v>43</v>
      </c>
      <c r="P173">
        <v>4</v>
      </c>
      <c r="Q173" t="s">
        <v>44</v>
      </c>
      <c r="R173" t="s">
        <v>133</v>
      </c>
      <c r="S173" s="2">
        <v>-24.3605442350039</v>
      </c>
      <c r="T173" s="2">
        <v>82.645365245497999</v>
      </c>
      <c r="U173" t="str">
        <f>_xlfn.IFS(Table13[[#This Row],[Risk_Score]]&gt;80,"High",AND(Table13[[#This Row],[Risk_Score]]&lt;=80,Table13[[#This Row],[Risk_Score]]&gt;45),"Normal",Table13[[#This Row],[Risk_Score]]&lt;=45,"Low")</f>
        <v>High</v>
      </c>
      <c r="V173" s="7">
        <f t="shared" si="2"/>
        <v>1595.3498247426201</v>
      </c>
    </row>
    <row r="174" spans="1:22">
      <c r="A174" t="s">
        <v>705</v>
      </c>
      <c r="B174" t="s">
        <v>706</v>
      </c>
      <c r="C174" t="s">
        <v>85</v>
      </c>
      <c r="D174" s="2">
        <v>40771.215977282598</v>
      </c>
      <c r="E174" s="4">
        <v>45779</v>
      </c>
      <c r="F174" t="s">
        <v>707</v>
      </c>
      <c r="G174" t="s">
        <v>92</v>
      </c>
      <c r="H174" t="s">
        <v>1762</v>
      </c>
      <c r="I174" t="s">
        <v>51</v>
      </c>
      <c r="J174" t="s">
        <v>87</v>
      </c>
      <c r="K174" t="s">
        <v>708</v>
      </c>
      <c r="L174" t="s">
        <v>155</v>
      </c>
      <c r="M174" s="2">
        <v>159.32493424084001</v>
      </c>
      <c r="N174" s="2">
        <v>180.02995096536301</v>
      </c>
      <c r="O174" t="s">
        <v>43</v>
      </c>
      <c r="P174">
        <v>0</v>
      </c>
      <c r="Q174" t="s">
        <v>1763</v>
      </c>
      <c r="R174" t="s">
        <v>32</v>
      </c>
      <c r="S174" s="2">
        <v>-17.236382032183599</v>
      </c>
      <c r="T174" s="2">
        <v>96.111826802164003</v>
      </c>
      <c r="U174" t="str">
        <f>_xlfn.IFS(Table13[[#This Row],[Risk_Score]]&gt;80,"High",AND(Table13[[#This Row],[Risk_Score]]&lt;=80,Table13[[#This Row],[Risk_Score]]&gt;45),"Normal",Table13[[#This Row],[Risk_Score]]&lt;=45,"Low")</f>
        <v>High</v>
      </c>
      <c r="V174" s="7">
        <f t="shared" si="2"/>
        <v>0</v>
      </c>
    </row>
    <row r="175" spans="1:22">
      <c r="A175" t="s">
        <v>709</v>
      </c>
      <c r="B175" t="s">
        <v>455</v>
      </c>
      <c r="C175" t="s">
        <v>48</v>
      </c>
      <c r="D175" s="2">
        <v>27931.339070926799</v>
      </c>
      <c r="E175" s="4">
        <v>45780</v>
      </c>
      <c r="F175" t="s">
        <v>710</v>
      </c>
      <c r="G175" t="s">
        <v>163</v>
      </c>
      <c r="H175" t="s">
        <v>1762</v>
      </c>
      <c r="I175" t="s">
        <v>51</v>
      </c>
      <c r="J175" t="s">
        <v>87</v>
      </c>
      <c r="K175" t="s">
        <v>711</v>
      </c>
      <c r="L175" t="s">
        <v>155</v>
      </c>
      <c r="M175" s="2">
        <v>878.92573536404302</v>
      </c>
      <c r="N175" s="2">
        <v>0</v>
      </c>
      <c r="O175" t="s">
        <v>62</v>
      </c>
      <c r="P175">
        <v>1</v>
      </c>
      <c r="Q175" t="s">
        <v>44</v>
      </c>
      <c r="R175" t="s">
        <v>32</v>
      </c>
      <c r="S175" s="2">
        <v>-4.7800014340894501</v>
      </c>
      <c r="T175" s="2">
        <v>1.5853545373567</v>
      </c>
      <c r="U175" t="str">
        <f>_xlfn.IFS(Table13[[#This Row],[Risk_Score]]&gt;80,"High",AND(Table13[[#This Row],[Risk_Score]]&lt;=80,Table13[[#This Row],[Risk_Score]]&gt;45),"Normal",Table13[[#This Row],[Risk_Score]]&lt;=45,"Low")</f>
        <v>Low</v>
      </c>
      <c r="V175" s="7">
        <f t="shared" si="2"/>
        <v>878.92573536404302</v>
      </c>
    </row>
    <row r="176" spans="1:22">
      <c r="A176" t="s">
        <v>712</v>
      </c>
      <c r="B176" t="s">
        <v>713</v>
      </c>
      <c r="C176" t="s">
        <v>35</v>
      </c>
      <c r="D176" s="2">
        <v>35226.912143411602</v>
      </c>
      <c r="E176" s="4">
        <v>45780</v>
      </c>
      <c r="F176" t="s">
        <v>714</v>
      </c>
      <c r="G176" t="s">
        <v>172</v>
      </c>
      <c r="H176" t="s">
        <v>25</v>
      </c>
      <c r="I176" t="s">
        <v>26</v>
      </c>
      <c r="J176" t="s">
        <v>87</v>
      </c>
      <c r="K176" t="s">
        <v>715</v>
      </c>
      <c r="L176" t="s">
        <v>81</v>
      </c>
      <c r="M176" s="2">
        <v>3026.8511499083902</v>
      </c>
      <c r="N176" s="2">
        <v>491.24129030062397</v>
      </c>
      <c r="O176" t="s">
        <v>62</v>
      </c>
      <c r="P176">
        <v>2</v>
      </c>
      <c r="Q176" t="s">
        <v>55</v>
      </c>
      <c r="R176" t="s">
        <v>45</v>
      </c>
      <c r="S176" s="2">
        <v>20.733071729814</v>
      </c>
      <c r="T176" s="2">
        <v>58.6459512374798</v>
      </c>
      <c r="U176" t="str">
        <f>_xlfn.IFS(Table13[[#This Row],[Risk_Score]]&gt;80,"High",AND(Table13[[#This Row],[Risk_Score]]&lt;=80,Table13[[#This Row],[Risk_Score]]&gt;45),"Normal",Table13[[#This Row],[Risk_Score]]&lt;=45,"Low")</f>
        <v>Normal</v>
      </c>
      <c r="V176" s="7">
        <f t="shared" si="2"/>
        <v>2535.60985960777</v>
      </c>
    </row>
    <row r="177" spans="1:22">
      <c r="A177" t="s">
        <v>716</v>
      </c>
      <c r="B177" t="s">
        <v>717</v>
      </c>
      <c r="C177" t="s">
        <v>22</v>
      </c>
      <c r="D177" s="2">
        <v>11344.106605855201</v>
      </c>
      <c r="E177" s="4">
        <v>45781</v>
      </c>
      <c r="F177" t="s">
        <v>718</v>
      </c>
      <c r="G177" t="s">
        <v>24</v>
      </c>
      <c r="H177" t="s">
        <v>38</v>
      </c>
      <c r="I177" t="s">
        <v>75</v>
      </c>
      <c r="J177" t="s">
        <v>60</v>
      </c>
      <c r="K177" t="s">
        <v>719</v>
      </c>
      <c r="L177" t="s">
        <v>53</v>
      </c>
      <c r="M177" s="2">
        <v>2083.01076468875</v>
      </c>
      <c r="N177" s="2">
        <v>0</v>
      </c>
      <c r="O177" t="s">
        <v>43</v>
      </c>
      <c r="P177">
        <v>2</v>
      </c>
      <c r="Q177" t="s">
        <v>95</v>
      </c>
      <c r="R177" t="s">
        <v>32</v>
      </c>
      <c r="S177" s="2">
        <v>28.403657486162601</v>
      </c>
      <c r="T177" s="2">
        <v>40.738227911914002</v>
      </c>
      <c r="U177" t="str">
        <f>_xlfn.IFS(Table13[[#This Row],[Risk_Score]]&gt;80,"High",AND(Table13[[#This Row],[Risk_Score]]&lt;=80,Table13[[#This Row],[Risk_Score]]&gt;45),"Normal",Table13[[#This Row],[Risk_Score]]&lt;=45,"Low")</f>
        <v>Low</v>
      </c>
      <c r="V177" s="7">
        <f t="shared" si="2"/>
        <v>2083.01076468875</v>
      </c>
    </row>
    <row r="178" spans="1:22">
      <c r="A178" t="s">
        <v>720</v>
      </c>
      <c r="B178" t="s">
        <v>721</v>
      </c>
      <c r="C178" t="s">
        <v>48</v>
      </c>
      <c r="D178" s="2">
        <v>5244.3779260858701</v>
      </c>
      <c r="E178" s="4">
        <v>45782</v>
      </c>
      <c r="F178" t="s">
        <v>722</v>
      </c>
      <c r="G178" t="s">
        <v>172</v>
      </c>
      <c r="H178" t="s">
        <v>1762</v>
      </c>
      <c r="I178" t="s">
        <v>75</v>
      </c>
      <c r="J178" t="s">
        <v>87</v>
      </c>
      <c r="K178" t="s">
        <v>723</v>
      </c>
      <c r="L178" t="s">
        <v>120</v>
      </c>
      <c r="M178" s="2">
        <v>3551.76006205157</v>
      </c>
      <c r="N178" s="2">
        <v>0</v>
      </c>
      <c r="O178" t="s">
        <v>54</v>
      </c>
      <c r="P178">
        <v>3</v>
      </c>
      <c r="Q178" t="s">
        <v>55</v>
      </c>
      <c r="R178" t="s">
        <v>32</v>
      </c>
      <c r="S178" s="2">
        <v>-23.684090251174499</v>
      </c>
      <c r="T178" s="2">
        <v>43.904148882114796</v>
      </c>
      <c r="U178" t="str">
        <f>_xlfn.IFS(Table13[[#This Row],[Risk_Score]]&gt;80,"High",AND(Table13[[#This Row],[Risk_Score]]&lt;=80,Table13[[#This Row],[Risk_Score]]&gt;45),"Normal",Table13[[#This Row],[Risk_Score]]&lt;=45,"Low")</f>
        <v>Low</v>
      </c>
      <c r="V178" s="7">
        <f t="shared" si="2"/>
        <v>3551.76006205157</v>
      </c>
    </row>
    <row r="179" spans="1:22">
      <c r="A179" t="s">
        <v>724</v>
      </c>
      <c r="B179" t="s">
        <v>725</v>
      </c>
      <c r="C179" t="s">
        <v>35</v>
      </c>
      <c r="D179" s="2">
        <v>34972.4080727291</v>
      </c>
      <c r="E179" s="4">
        <v>45784</v>
      </c>
      <c r="F179" t="s">
        <v>726</v>
      </c>
      <c r="G179" t="s">
        <v>37</v>
      </c>
      <c r="H179" t="s">
        <v>1762</v>
      </c>
      <c r="I179" t="s">
        <v>99</v>
      </c>
      <c r="J179" t="s">
        <v>87</v>
      </c>
      <c r="K179" t="s">
        <v>727</v>
      </c>
      <c r="L179" t="s">
        <v>81</v>
      </c>
      <c r="M179" s="2">
        <v>3085.1019599599399</v>
      </c>
      <c r="N179" s="2">
        <v>0</v>
      </c>
      <c r="O179" t="s">
        <v>43</v>
      </c>
      <c r="P179">
        <v>3</v>
      </c>
      <c r="Q179" t="s">
        <v>55</v>
      </c>
      <c r="R179" t="s">
        <v>32</v>
      </c>
      <c r="S179" s="2">
        <v>12.9871788935274</v>
      </c>
      <c r="T179" s="2">
        <v>30.972922175133</v>
      </c>
      <c r="U179" t="str">
        <f>_xlfn.IFS(Table13[[#This Row],[Risk_Score]]&gt;80,"High",AND(Table13[[#This Row],[Risk_Score]]&lt;=80,Table13[[#This Row],[Risk_Score]]&gt;45),"Normal",Table13[[#This Row],[Risk_Score]]&lt;=45,"Low")</f>
        <v>Low</v>
      </c>
      <c r="V179" s="7">
        <f t="shared" si="2"/>
        <v>3085.1019599599399</v>
      </c>
    </row>
    <row r="180" spans="1:22">
      <c r="A180" t="s">
        <v>728</v>
      </c>
      <c r="B180" t="s">
        <v>308</v>
      </c>
      <c r="C180" t="s">
        <v>35</v>
      </c>
      <c r="D180" s="2">
        <v>12875.175039497701</v>
      </c>
      <c r="E180" s="4">
        <v>45787</v>
      </c>
      <c r="F180" t="s">
        <v>729</v>
      </c>
      <c r="G180" t="s">
        <v>24</v>
      </c>
      <c r="H180" t="s">
        <v>25</v>
      </c>
      <c r="I180" t="s">
        <v>99</v>
      </c>
      <c r="J180" t="s">
        <v>60</v>
      </c>
      <c r="K180" t="s">
        <v>730</v>
      </c>
      <c r="L180" t="s">
        <v>42</v>
      </c>
      <c r="M180" s="2">
        <v>2037.4131722961399</v>
      </c>
      <c r="N180" s="2">
        <v>0</v>
      </c>
      <c r="O180" t="s">
        <v>62</v>
      </c>
      <c r="P180">
        <v>1</v>
      </c>
      <c r="Q180" t="s">
        <v>95</v>
      </c>
      <c r="R180" t="s">
        <v>32</v>
      </c>
      <c r="S180" s="2">
        <v>3.4009231609052102</v>
      </c>
      <c r="T180" s="2">
        <v>11.836222785129801</v>
      </c>
      <c r="U180" t="str">
        <f>_xlfn.IFS(Table13[[#This Row],[Risk_Score]]&gt;80,"High",AND(Table13[[#This Row],[Risk_Score]]&lt;=80,Table13[[#This Row],[Risk_Score]]&gt;45),"Normal",Table13[[#This Row],[Risk_Score]]&lt;=45,"Low")</f>
        <v>Low</v>
      </c>
      <c r="V180" s="7">
        <f t="shared" si="2"/>
        <v>2037.4131722961399</v>
      </c>
    </row>
    <row r="181" spans="1:22">
      <c r="A181" t="s">
        <v>731</v>
      </c>
      <c r="B181" t="s">
        <v>589</v>
      </c>
      <c r="C181" t="s">
        <v>85</v>
      </c>
      <c r="D181" s="2">
        <v>9300.1089418802603</v>
      </c>
      <c r="E181" s="4">
        <v>45788</v>
      </c>
      <c r="F181" t="s">
        <v>732</v>
      </c>
      <c r="G181" t="s">
        <v>68</v>
      </c>
      <c r="H181" t="s">
        <v>25</v>
      </c>
      <c r="I181" t="s">
        <v>51</v>
      </c>
      <c r="J181" t="s">
        <v>60</v>
      </c>
      <c r="K181" t="s">
        <v>733</v>
      </c>
      <c r="L181" t="s">
        <v>81</v>
      </c>
      <c r="M181" s="2">
        <v>999.09427608181898</v>
      </c>
      <c r="N181" s="2">
        <v>0</v>
      </c>
      <c r="O181" t="s">
        <v>54</v>
      </c>
      <c r="P181">
        <v>3</v>
      </c>
      <c r="Q181" t="s">
        <v>63</v>
      </c>
      <c r="R181" t="s">
        <v>32</v>
      </c>
      <c r="S181" s="2">
        <v>-9.7368513262669794</v>
      </c>
      <c r="T181" s="2">
        <v>30.048875863263898</v>
      </c>
      <c r="U181" t="str">
        <f>_xlfn.IFS(Table13[[#This Row],[Risk_Score]]&gt;80,"High",AND(Table13[[#This Row],[Risk_Score]]&lt;=80,Table13[[#This Row],[Risk_Score]]&gt;45),"Normal",Table13[[#This Row],[Risk_Score]]&lt;=45,"Low")</f>
        <v>Low</v>
      </c>
      <c r="V181" s="7">
        <f t="shared" si="2"/>
        <v>999.09427608181898</v>
      </c>
    </row>
    <row r="182" spans="1:22">
      <c r="A182" t="s">
        <v>734</v>
      </c>
      <c r="B182" t="s">
        <v>122</v>
      </c>
      <c r="C182" t="s">
        <v>48</v>
      </c>
      <c r="D182" s="2">
        <v>40390.769565656403</v>
      </c>
      <c r="E182" s="4">
        <v>45788</v>
      </c>
      <c r="F182" t="s">
        <v>735</v>
      </c>
      <c r="G182" t="s">
        <v>163</v>
      </c>
      <c r="H182" t="s">
        <v>25</v>
      </c>
      <c r="I182" t="s">
        <v>75</v>
      </c>
      <c r="J182" t="s">
        <v>60</v>
      </c>
      <c r="K182" t="s">
        <v>736</v>
      </c>
      <c r="L182" t="s">
        <v>53</v>
      </c>
      <c r="M182" s="2">
        <v>4496.85861207994</v>
      </c>
      <c r="N182" s="2">
        <v>410.62971018642298</v>
      </c>
      <c r="O182" t="s">
        <v>43</v>
      </c>
      <c r="P182">
        <v>3</v>
      </c>
      <c r="Q182" t="s">
        <v>44</v>
      </c>
      <c r="R182" t="s">
        <v>133</v>
      </c>
      <c r="S182" s="2">
        <v>3.48533668979236E-2</v>
      </c>
      <c r="T182" s="2">
        <v>70.588244468172107</v>
      </c>
      <c r="U182" t="str">
        <f>_xlfn.IFS(Table13[[#This Row],[Risk_Score]]&gt;80,"High",AND(Table13[[#This Row],[Risk_Score]]&lt;=80,Table13[[#This Row],[Risk_Score]]&gt;45),"Normal",Table13[[#This Row],[Risk_Score]]&lt;=45,"Low")</f>
        <v>Normal</v>
      </c>
      <c r="V182" s="7">
        <f t="shared" si="2"/>
        <v>4086.2289018935198</v>
      </c>
    </row>
    <row r="183" spans="1:22">
      <c r="A183" t="s">
        <v>737</v>
      </c>
      <c r="B183" t="s">
        <v>738</v>
      </c>
      <c r="C183" t="s">
        <v>22</v>
      </c>
      <c r="D183" s="2">
        <v>10440.659685502</v>
      </c>
      <c r="E183" s="4">
        <v>45788</v>
      </c>
      <c r="F183" t="s">
        <v>739</v>
      </c>
      <c r="G183" t="s">
        <v>68</v>
      </c>
      <c r="H183" t="s">
        <v>38</v>
      </c>
      <c r="I183" t="s">
        <v>99</v>
      </c>
      <c r="J183" t="s">
        <v>60</v>
      </c>
      <c r="K183" t="s">
        <v>740</v>
      </c>
      <c r="L183" t="s">
        <v>120</v>
      </c>
      <c r="M183" s="2">
        <v>4437.1266714557996</v>
      </c>
      <c r="N183" s="2">
        <v>0</v>
      </c>
      <c r="O183" t="s">
        <v>62</v>
      </c>
      <c r="P183">
        <v>3</v>
      </c>
      <c r="Q183" t="s">
        <v>63</v>
      </c>
      <c r="R183" t="s">
        <v>133</v>
      </c>
      <c r="S183" s="2">
        <v>9.2537986799924603</v>
      </c>
      <c r="T183" s="2">
        <v>23.1314182262293</v>
      </c>
      <c r="U183" t="str">
        <f>_xlfn.IFS(Table13[[#This Row],[Risk_Score]]&gt;80,"High",AND(Table13[[#This Row],[Risk_Score]]&lt;=80,Table13[[#This Row],[Risk_Score]]&gt;45),"Normal",Table13[[#This Row],[Risk_Score]]&lt;=45,"Low")</f>
        <v>Low</v>
      </c>
      <c r="V183" s="7">
        <f t="shared" si="2"/>
        <v>4437.1266714557996</v>
      </c>
    </row>
    <row r="184" spans="1:22">
      <c r="A184" t="s">
        <v>741</v>
      </c>
      <c r="B184" t="s">
        <v>349</v>
      </c>
      <c r="C184" t="s">
        <v>48</v>
      </c>
      <c r="D184" s="2">
        <v>39735.043553326497</v>
      </c>
      <c r="E184" s="4">
        <v>45790</v>
      </c>
      <c r="F184" t="s">
        <v>742</v>
      </c>
      <c r="G184" t="s">
        <v>37</v>
      </c>
      <c r="H184" t="s">
        <v>25</v>
      </c>
      <c r="I184" t="s">
        <v>26</v>
      </c>
      <c r="J184" t="s">
        <v>60</v>
      </c>
      <c r="K184" t="s">
        <v>743</v>
      </c>
      <c r="L184" t="s">
        <v>53</v>
      </c>
      <c r="M184" s="2">
        <v>3877.2583312308502</v>
      </c>
      <c r="N184" s="2">
        <v>252.06642095921899</v>
      </c>
      <c r="O184" t="s">
        <v>43</v>
      </c>
      <c r="P184">
        <v>3</v>
      </c>
      <c r="Q184" t="s">
        <v>55</v>
      </c>
      <c r="R184" t="s">
        <v>45</v>
      </c>
      <c r="S184" s="2">
        <v>23.738649183830098</v>
      </c>
      <c r="T184" s="2">
        <v>33.874990421450697</v>
      </c>
      <c r="U184" t="str">
        <f>_xlfn.IFS(Table13[[#This Row],[Risk_Score]]&gt;80,"High",AND(Table13[[#This Row],[Risk_Score]]&lt;=80,Table13[[#This Row],[Risk_Score]]&gt;45),"Normal",Table13[[#This Row],[Risk_Score]]&lt;=45,"Low")</f>
        <v>Low</v>
      </c>
      <c r="V184" s="7">
        <f t="shared" si="2"/>
        <v>3625.1919102716301</v>
      </c>
    </row>
    <row r="185" spans="1:22">
      <c r="A185" t="s">
        <v>744</v>
      </c>
      <c r="B185" t="s">
        <v>161</v>
      </c>
      <c r="C185" t="s">
        <v>22</v>
      </c>
      <c r="D185" s="2">
        <v>29962.2907901408</v>
      </c>
      <c r="E185" s="4">
        <v>45791</v>
      </c>
      <c r="F185" t="s">
        <v>745</v>
      </c>
      <c r="G185" t="s">
        <v>50</v>
      </c>
      <c r="H185" t="s">
        <v>38</v>
      </c>
      <c r="I185" t="s">
        <v>99</v>
      </c>
      <c r="J185" t="s">
        <v>60</v>
      </c>
      <c r="K185" t="s">
        <v>746</v>
      </c>
      <c r="L185" t="s">
        <v>120</v>
      </c>
      <c r="M185" s="2">
        <v>2543.3565160661501</v>
      </c>
      <c r="N185" s="2">
        <v>0</v>
      </c>
      <c r="O185" t="s">
        <v>43</v>
      </c>
      <c r="P185">
        <v>4</v>
      </c>
      <c r="Q185" t="s">
        <v>63</v>
      </c>
      <c r="R185" t="s">
        <v>133</v>
      </c>
      <c r="S185" s="2">
        <v>17.015033684573002</v>
      </c>
      <c r="T185" s="2">
        <v>20.7469438058877</v>
      </c>
      <c r="U185" t="str">
        <f>_xlfn.IFS(Table13[[#This Row],[Risk_Score]]&gt;80,"High",AND(Table13[[#This Row],[Risk_Score]]&lt;=80,Table13[[#This Row],[Risk_Score]]&gt;45),"Normal",Table13[[#This Row],[Risk_Score]]&lt;=45,"Low")</f>
        <v>Low</v>
      </c>
      <c r="V185" s="7">
        <f t="shared" si="2"/>
        <v>2543.3565160661501</v>
      </c>
    </row>
    <row r="186" spans="1:22">
      <c r="A186" t="s">
        <v>747</v>
      </c>
      <c r="B186" t="s">
        <v>748</v>
      </c>
      <c r="C186" t="s">
        <v>35</v>
      </c>
      <c r="D186" s="2">
        <v>28266.481271879798</v>
      </c>
      <c r="E186" s="4">
        <v>45794</v>
      </c>
      <c r="F186" t="s">
        <v>749</v>
      </c>
      <c r="G186" t="s">
        <v>50</v>
      </c>
      <c r="H186" t="s">
        <v>1763</v>
      </c>
      <c r="I186" t="s">
        <v>99</v>
      </c>
      <c r="J186" t="s">
        <v>60</v>
      </c>
      <c r="K186" t="s">
        <v>750</v>
      </c>
      <c r="L186" t="s">
        <v>120</v>
      </c>
      <c r="M186" s="2">
        <v>214.676457288324</v>
      </c>
      <c r="N186" s="2">
        <v>331.15895676979102</v>
      </c>
      <c r="O186" t="s">
        <v>62</v>
      </c>
      <c r="P186">
        <v>1</v>
      </c>
      <c r="Q186" t="s">
        <v>63</v>
      </c>
      <c r="R186" t="s">
        <v>133</v>
      </c>
      <c r="S186" s="2">
        <v>24.1520329583145</v>
      </c>
      <c r="T186" s="2">
        <v>32.668902253174799</v>
      </c>
      <c r="U186" t="str">
        <f>_xlfn.IFS(Table13[[#This Row],[Risk_Score]]&gt;80,"High",AND(Table13[[#This Row],[Risk_Score]]&lt;=80,Table13[[#This Row],[Risk_Score]]&gt;45),"Normal",Table13[[#This Row],[Risk_Score]]&lt;=45,"Low")</f>
        <v>Low</v>
      </c>
      <c r="V186" s="7">
        <f t="shared" si="2"/>
        <v>0</v>
      </c>
    </row>
    <row r="187" spans="1:22">
      <c r="A187" t="s">
        <v>751</v>
      </c>
      <c r="B187" t="s">
        <v>188</v>
      </c>
      <c r="C187" t="s">
        <v>85</v>
      </c>
      <c r="D187" s="2">
        <v>1937.41119503597</v>
      </c>
      <c r="E187" s="4">
        <v>45794</v>
      </c>
      <c r="F187" t="s">
        <v>752</v>
      </c>
      <c r="G187" t="s">
        <v>92</v>
      </c>
      <c r="H187" t="s">
        <v>1762</v>
      </c>
      <c r="I187" t="s">
        <v>99</v>
      </c>
      <c r="J187" t="s">
        <v>60</v>
      </c>
      <c r="K187" t="s">
        <v>753</v>
      </c>
      <c r="L187" t="s">
        <v>29</v>
      </c>
      <c r="M187" s="2">
        <v>54.600613506307297</v>
      </c>
      <c r="N187" s="2">
        <v>0</v>
      </c>
      <c r="O187" t="s">
        <v>62</v>
      </c>
      <c r="P187">
        <v>3</v>
      </c>
      <c r="Q187" t="s">
        <v>44</v>
      </c>
      <c r="R187" t="s">
        <v>45</v>
      </c>
      <c r="S187" s="2">
        <v>-5.5906411560920999</v>
      </c>
      <c r="T187" s="2">
        <v>72.010165453914098</v>
      </c>
      <c r="U187" t="str">
        <f>_xlfn.IFS(Table13[[#This Row],[Risk_Score]]&gt;80,"High",AND(Table13[[#This Row],[Risk_Score]]&lt;=80,Table13[[#This Row],[Risk_Score]]&gt;45),"Normal",Table13[[#This Row],[Risk_Score]]&lt;=45,"Low")</f>
        <v>Normal</v>
      </c>
      <c r="V187" s="7">
        <f t="shared" si="2"/>
        <v>54.600613506307297</v>
      </c>
    </row>
    <row r="188" spans="1:22">
      <c r="A188" t="s">
        <v>754</v>
      </c>
      <c r="B188" t="s">
        <v>360</v>
      </c>
      <c r="C188" t="s">
        <v>35</v>
      </c>
      <c r="D188" s="2">
        <v>9085.3568902299994</v>
      </c>
      <c r="E188" s="4">
        <v>45797</v>
      </c>
      <c r="F188" t="s">
        <v>755</v>
      </c>
      <c r="G188" t="s">
        <v>59</v>
      </c>
      <c r="H188" t="s">
        <v>25</v>
      </c>
      <c r="I188" t="s">
        <v>26</v>
      </c>
      <c r="J188" t="s">
        <v>60</v>
      </c>
      <c r="K188" t="s">
        <v>756</v>
      </c>
      <c r="L188" t="s">
        <v>29</v>
      </c>
      <c r="M188" s="2">
        <v>926.77936378135701</v>
      </c>
      <c r="N188" s="2">
        <v>156.41709876210999</v>
      </c>
      <c r="O188" t="s">
        <v>43</v>
      </c>
      <c r="P188">
        <v>0</v>
      </c>
      <c r="Q188" t="s">
        <v>44</v>
      </c>
      <c r="R188" t="s">
        <v>32</v>
      </c>
      <c r="S188" s="2">
        <v>0.33938144581316398</v>
      </c>
      <c r="T188" s="2">
        <v>48.352206736497202</v>
      </c>
      <c r="U188" t="str">
        <f>_xlfn.IFS(Table13[[#This Row],[Risk_Score]]&gt;80,"High",AND(Table13[[#This Row],[Risk_Score]]&lt;=80,Table13[[#This Row],[Risk_Score]]&gt;45),"Normal",Table13[[#This Row],[Risk_Score]]&lt;=45,"Low")</f>
        <v>Normal</v>
      </c>
      <c r="V188" s="7">
        <f t="shared" si="2"/>
        <v>770.36226501924705</v>
      </c>
    </row>
    <row r="189" spans="1:22">
      <c r="A189" t="s">
        <v>757</v>
      </c>
      <c r="B189" t="s">
        <v>667</v>
      </c>
      <c r="C189" t="s">
        <v>35</v>
      </c>
      <c r="D189" s="2">
        <v>45167.237827963603</v>
      </c>
      <c r="E189" s="4">
        <v>45798</v>
      </c>
      <c r="F189" t="s">
        <v>758</v>
      </c>
      <c r="G189" t="s">
        <v>141</v>
      </c>
      <c r="H189" t="s">
        <v>1762</v>
      </c>
      <c r="I189" t="s">
        <v>26</v>
      </c>
      <c r="J189" t="s">
        <v>87</v>
      </c>
      <c r="K189" t="s">
        <v>759</v>
      </c>
      <c r="L189" t="s">
        <v>53</v>
      </c>
      <c r="M189" s="2">
        <v>4134.7962877351702</v>
      </c>
      <c r="N189" s="2">
        <v>0</v>
      </c>
      <c r="O189" t="s">
        <v>62</v>
      </c>
      <c r="P189">
        <v>1</v>
      </c>
      <c r="Q189" t="s">
        <v>95</v>
      </c>
      <c r="R189" t="s">
        <v>32</v>
      </c>
      <c r="S189" s="2">
        <v>-29.352096456629301</v>
      </c>
      <c r="T189" s="2">
        <v>92.627996184840697</v>
      </c>
      <c r="U189" t="str">
        <f>_xlfn.IFS(Table13[[#This Row],[Risk_Score]]&gt;80,"High",AND(Table13[[#This Row],[Risk_Score]]&lt;=80,Table13[[#This Row],[Risk_Score]]&gt;45),"Normal",Table13[[#This Row],[Risk_Score]]&lt;=45,"Low")</f>
        <v>High</v>
      </c>
      <c r="V189" s="7">
        <f t="shared" si="2"/>
        <v>4134.7962877351702</v>
      </c>
    </row>
    <row r="190" spans="1:22">
      <c r="A190" t="s">
        <v>760</v>
      </c>
      <c r="B190" t="s">
        <v>436</v>
      </c>
      <c r="C190" t="s">
        <v>22</v>
      </c>
      <c r="D190" s="2">
        <v>31078.2036526624</v>
      </c>
      <c r="E190" s="4">
        <v>45799</v>
      </c>
      <c r="F190" t="s">
        <v>623</v>
      </c>
      <c r="G190" t="s">
        <v>59</v>
      </c>
      <c r="H190" t="s">
        <v>1762</v>
      </c>
      <c r="I190" t="s">
        <v>99</v>
      </c>
      <c r="J190" t="s">
        <v>87</v>
      </c>
      <c r="K190" t="s">
        <v>761</v>
      </c>
      <c r="L190" t="s">
        <v>155</v>
      </c>
      <c r="M190" s="2">
        <v>4563.5022119961504</v>
      </c>
      <c r="N190" s="2">
        <v>0</v>
      </c>
      <c r="O190" t="s">
        <v>62</v>
      </c>
      <c r="P190">
        <v>3</v>
      </c>
      <c r="Q190" t="s">
        <v>44</v>
      </c>
      <c r="R190" t="s">
        <v>32</v>
      </c>
      <c r="S190" s="2">
        <v>29.047133029574201</v>
      </c>
      <c r="T190" s="2">
        <v>12.8747202875713</v>
      </c>
      <c r="U190" t="str">
        <f>_xlfn.IFS(Table13[[#This Row],[Risk_Score]]&gt;80,"High",AND(Table13[[#This Row],[Risk_Score]]&lt;=80,Table13[[#This Row],[Risk_Score]]&gt;45),"Normal",Table13[[#This Row],[Risk_Score]]&lt;=45,"Low")</f>
        <v>Low</v>
      </c>
      <c r="V190" s="7">
        <f t="shared" si="2"/>
        <v>4563.5022119961504</v>
      </c>
    </row>
    <row r="191" spans="1:22">
      <c r="A191" t="s">
        <v>762</v>
      </c>
      <c r="B191" t="s">
        <v>763</v>
      </c>
      <c r="C191" t="s">
        <v>48</v>
      </c>
      <c r="D191" s="2">
        <v>36821.640198480498</v>
      </c>
      <c r="E191" s="4">
        <v>45800</v>
      </c>
      <c r="F191" t="s">
        <v>764</v>
      </c>
      <c r="G191" t="s">
        <v>163</v>
      </c>
      <c r="H191" t="s">
        <v>1762</v>
      </c>
      <c r="I191" t="s">
        <v>51</v>
      </c>
      <c r="J191" t="s">
        <v>87</v>
      </c>
      <c r="K191" t="s">
        <v>765</v>
      </c>
      <c r="L191" t="s">
        <v>155</v>
      </c>
      <c r="M191" s="2">
        <v>3639.3002416699201</v>
      </c>
      <c r="N191" s="2">
        <v>0</v>
      </c>
      <c r="O191" t="s">
        <v>43</v>
      </c>
      <c r="P191">
        <v>4</v>
      </c>
      <c r="Q191" t="s">
        <v>31</v>
      </c>
      <c r="R191" t="s">
        <v>133</v>
      </c>
      <c r="S191" s="2">
        <v>-12.5566615427601</v>
      </c>
      <c r="T191" s="2">
        <v>91.376500330379898</v>
      </c>
      <c r="U191" t="str">
        <f>_xlfn.IFS(Table13[[#This Row],[Risk_Score]]&gt;80,"High",AND(Table13[[#This Row],[Risk_Score]]&lt;=80,Table13[[#This Row],[Risk_Score]]&gt;45),"Normal",Table13[[#This Row],[Risk_Score]]&lt;=45,"Low")</f>
        <v>High</v>
      </c>
      <c r="V191" s="7">
        <f t="shared" si="2"/>
        <v>3639.3002416699201</v>
      </c>
    </row>
    <row r="192" spans="1:22">
      <c r="A192" t="s">
        <v>766</v>
      </c>
      <c r="B192" t="s">
        <v>767</v>
      </c>
      <c r="C192" t="s">
        <v>22</v>
      </c>
      <c r="D192" s="2">
        <v>20783.778751761001</v>
      </c>
      <c r="E192" s="4">
        <v>45802</v>
      </c>
      <c r="F192" t="s">
        <v>768</v>
      </c>
      <c r="G192" t="s">
        <v>50</v>
      </c>
      <c r="H192" t="s">
        <v>1762</v>
      </c>
      <c r="I192" t="s">
        <v>26</v>
      </c>
      <c r="J192" t="s">
        <v>87</v>
      </c>
      <c r="K192" t="s">
        <v>769</v>
      </c>
      <c r="L192" t="s">
        <v>155</v>
      </c>
      <c r="M192" s="2">
        <v>3373.4600595864999</v>
      </c>
      <c r="N192" s="2">
        <v>0</v>
      </c>
      <c r="O192" t="s">
        <v>62</v>
      </c>
      <c r="P192">
        <v>2</v>
      </c>
      <c r="Q192" t="s">
        <v>63</v>
      </c>
      <c r="R192" t="s">
        <v>32</v>
      </c>
      <c r="S192" s="2">
        <v>11.0326044697984</v>
      </c>
      <c r="T192" s="2">
        <v>41.5989607975242</v>
      </c>
      <c r="U192" t="str">
        <f>_xlfn.IFS(Table13[[#This Row],[Risk_Score]]&gt;80,"High",AND(Table13[[#This Row],[Risk_Score]]&lt;=80,Table13[[#This Row],[Risk_Score]]&gt;45),"Normal",Table13[[#This Row],[Risk_Score]]&lt;=45,"Low")</f>
        <v>Low</v>
      </c>
      <c r="V192" s="7">
        <f t="shared" si="2"/>
        <v>3373.4600595864999</v>
      </c>
    </row>
    <row r="193" spans="1:22">
      <c r="A193" t="s">
        <v>770</v>
      </c>
      <c r="B193" t="s">
        <v>771</v>
      </c>
      <c r="C193" t="s">
        <v>48</v>
      </c>
      <c r="D193" s="2">
        <v>5332.9714099707999</v>
      </c>
      <c r="E193" s="4">
        <v>45802</v>
      </c>
      <c r="F193" t="s">
        <v>772</v>
      </c>
      <c r="G193" t="s">
        <v>163</v>
      </c>
      <c r="H193" t="s">
        <v>1762</v>
      </c>
      <c r="I193" t="s">
        <v>99</v>
      </c>
      <c r="J193" t="s">
        <v>60</v>
      </c>
      <c r="K193" t="s">
        <v>773</v>
      </c>
      <c r="L193" t="s">
        <v>155</v>
      </c>
      <c r="M193" s="2">
        <v>4319.3577116378501</v>
      </c>
      <c r="N193" s="2">
        <v>0</v>
      </c>
      <c r="O193" t="s">
        <v>62</v>
      </c>
      <c r="P193">
        <v>0</v>
      </c>
      <c r="Q193" t="s">
        <v>44</v>
      </c>
      <c r="R193" t="s">
        <v>45</v>
      </c>
      <c r="S193" s="2">
        <v>18.586224233835701</v>
      </c>
      <c r="T193" s="2">
        <v>58.239550840850299</v>
      </c>
      <c r="U193" t="str">
        <f>_xlfn.IFS(Table13[[#This Row],[Risk_Score]]&gt;80,"High",AND(Table13[[#This Row],[Risk_Score]]&lt;=80,Table13[[#This Row],[Risk_Score]]&gt;45),"Normal",Table13[[#This Row],[Risk_Score]]&lt;=45,"Low")</f>
        <v>Normal</v>
      </c>
      <c r="V193" s="7">
        <f t="shared" si="2"/>
        <v>4319.3577116378501</v>
      </c>
    </row>
    <row r="194" spans="1:22">
      <c r="A194" t="s">
        <v>774</v>
      </c>
      <c r="B194" t="s">
        <v>215</v>
      </c>
      <c r="C194" t="s">
        <v>48</v>
      </c>
      <c r="D194" s="2">
        <v>29024.531730139799</v>
      </c>
      <c r="E194" s="4">
        <v>45803</v>
      </c>
      <c r="F194" t="s">
        <v>775</v>
      </c>
      <c r="G194" t="s">
        <v>24</v>
      </c>
      <c r="H194" t="s">
        <v>25</v>
      </c>
      <c r="I194" t="s">
        <v>26</v>
      </c>
      <c r="J194" t="s">
        <v>87</v>
      </c>
      <c r="K194" t="s">
        <v>776</v>
      </c>
      <c r="L194" t="s">
        <v>155</v>
      </c>
      <c r="M194" s="2">
        <v>1674.39235815036</v>
      </c>
      <c r="N194" s="2">
        <v>0</v>
      </c>
      <c r="O194" t="s">
        <v>43</v>
      </c>
      <c r="P194">
        <v>4</v>
      </c>
      <c r="Q194" t="s">
        <v>55</v>
      </c>
      <c r="R194" t="s">
        <v>45</v>
      </c>
      <c r="S194" s="2">
        <v>9.3721788224163909</v>
      </c>
      <c r="T194" s="2">
        <v>97.434945652403101</v>
      </c>
      <c r="U194" t="str">
        <f>_xlfn.IFS(Table13[[#This Row],[Risk_Score]]&gt;80,"High",AND(Table13[[#This Row],[Risk_Score]]&lt;=80,Table13[[#This Row],[Risk_Score]]&gt;45),"Normal",Table13[[#This Row],[Risk_Score]]&lt;=45,"Low")</f>
        <v>High</v>
      </c>
      <c r="V194" s="7">
        <f t="shared" ref="V194:V257" si="3">IF(M194-N194&gt;0,M194-N194,0)</f>
        <v>1674.39235815036</v>
      </c>
    </row>
    <row r="195" spans="1:22">
      <c r="A195" t="s">
        <v>777</v>
      </c>
      <c r="B195" t="s">
        <v>778</v>
      </c>
      <c r="C195" t="s">
        <v>22</v>
      </c>
      <c r="D195" s="2">
        <v>24954.7286001992</v>
      </c>
      <c r="E195" s="4">
        <v>45804</v>
      </c>
      <c r="F195" t="s">
        <v>779</v>
      </c>
      <c r="G195" t="s">
        <v>24</v>
      </c>
      <c r="H195" t="s">
        <v>38</v>
      </c>
      <c r="I195" t="s">
        <v>99</v>
      </c>
      <c r="J195" t="s">
        <v>60</v>
      </c>
      <c r="K195" t="s">
        <v>780</v>
      </c>
      <c r="L195" t="s">
        <v>29</v>
      </c>
      <c r="M195" s="2">
        <v>1821.9079129371901</v>
      </c>
      <c r="N195" s="2">
        <v>0</v>
      </c>
      <c r="O195" t="s">
        <v>62</v>
      </c>
      <c r="P195">
        <v>1</v>
      </c>
      <c r="Q195" t="s">
        <v>44</v>
      </c>
      <c r="R195" t="s">
        <v>133</v>
      </c>
      <c r="S195" s="2">
        <v>6.2151472594923298</v>
      </c>
      <c r="T195" s="2">
        <v>62.739655531584603</v>
      </c>
      <c r="U195" t="str">
        <f>_xlfn.IFS(Table13[[#This Row],[Risk_Score]]&gt;80,"High",AND(Table13[[#This Row],[Risk_Score]]&lt;=80,Table13[[#This Row],[Risk_Score]]&gt;45),"Normal",Table13[[#This Row],[Risk_Score]]&lt;=45,"Low")</f>
        <v>Normal</v>
      </c>
      <c r="V195" s="7">
        <f t="shared" si="3"/>
        <v>1821.9079129371901</v>
      </c>
    </row>
    <row r="196" spans="1:22">
      <c r="A196" t="s">
        <v>781</v>
      </c>
      <c r="B196" t="s">
        <v>782</v>
      </c>
      <c r="C196" t="s">
        <v>48</v>
      </c>
      <c r="D196" s="2">
        <v>45543.241292960098</v>
      </c>
      <c r="E196" s="4">
        <v>45804</v>
      </c>
      <c r="F196" t="s">
        <v>783</v>
      </c>
      <c r="G196" t="s">
        <v>92</v>
      </c>
      <c r="H196" t="s">
        <v>1762</v>
      </c>
      <c r="I196" t="s">
        <v>26</v>
      </c>
      <c r="J196" t="s">
        <v>60</v>
      </c>
      <c r="K196" t="s">
        <v>784</v>
      </c>
      <c r="L196" t="s">
        <v>42</v>
      </c>
      <c r="M196" s="2">
        <v>4154.2956694064897</v>
      </c>
      <c r="N196" s="2">
        <v>72.757741393679595</v>
      </c>
      <c r="O196" t="s">
        <v>43</v>
      </c>
      <c r="P196">
        <v>4</v>
      </c>
      <c r="Q196" t="s">
        <v>55</v>
      </c>
      <c r="R196" t="s">
        <v>45</v>
      </c>
      <c r="S196" s="2">
        <v>-18.327121818005299</v>
      </c>
      <c r="T196" s="2">
        <v>40.227476743143399</v>
      </c>
      <c r="U196" t="str">
        <f>_xlfn.IFS(Table13[[#This Row],[Risk_Score]]&gt;80,"High",AND(Table13[[#This Row],[Risk_Score]]&lt;=80,Table13[[#This Row],[Risk_Score]]&gt;45),"Normal",Table13[[#This Row],[Risk_Score]]&lt;=45,"Low")</f>
        <v>Low</v>
      </c>
      <c r="V196" s="7">
        <f t="shared" si="3"/>
        <v>4081.53792801281</v>
      </c>
    </row>
    <row r="197" spans="1:22">
      <c r="A197" t="s">
        <v>785</v>
      </c>
      <c r="B197" t="s">
        <v>562</v>
      </c>
      <c r="C197" t="s">
        <v>48</v>
      </c>
      <c r="D197" s="2">
        <v>26539.0171567377</v>
      </c>
      <c r="E197" s="4">
        <v>45804</v>
      </c>
      <c r="F197" t="s">
        <v>786</v>
      </c>
      <c r="G197" t="s">
        <v>181</v>
      </c>
      <c r="H197" t="s">
        <v>38</v>
      </c>
      <c r="I197" t="s">
        <v>99</v>
      </c>
      <c r="J197" t="s">
        <v>60</v>
      </c>
      <c r="K197" t="s">
        <v>787</v>
      </c>
      <c r="L197" t="s">
        <v>120</v>
      </c>
      <c r="M197" s="2">
        <v>3542.5354226659701</v>
      </c>
      <c r="N197" s="2">
        <v>0</v>
      </c>
      <c r="O197" t="s">
        <v>54</v>
      </c>
      <c r="P197">
        <v>1</v>
      </c>
      <c r="Q197" t="s">
        <v>95</v>
      </c>
      <c r="R197" t="s">
        <v>32</v>
      </c>
      <c r="S197" s="2">
        <v>-10.653011417361</v>
      </c>
      <c r="T197" s="2">
        <v>12.862406043919201</v>
      </c>
      <c r="U197" t="str">
        <f>_xlfn.IFS(Table13[[#This Row],[Risk_Score]]&gt;80,"High",AND(Table13[[#This Row],[Risk_Score]]&lt;=80,Table13[[#This Row],[Risk_Score]]&gt;45),"Normal",Table13[[#This Row],[Risk_Score]]&lt;=45,"Low")</f>
        <v>Low</v>
      </c>
      <c r="V197" s="7">
        <f t="shared" si="3"/>
        <v>3542.5354226659701</v>
      </c>
    </row>
    <row r="198" spans="1:22">
      <c r="A198" t="s">
        <v>788</v>
      </c>
      <c r="B198" t="s">
        <v>428</v>
      </c>
      <c r="C198" t="s">
        <v>48</v>
      </c>
      <c r="D198" s="2">
        <v>9886.0436747032909</v>
      </c>
      <c r="E198" s="4">
        <v>45805</v>
      </c>
      <c r="F198" t="s">
        <v>789</v>
      </c>
      <c r="G198" t="s">
        <v>50</v>
      </c>
      <c r="H198" t="s">
        <v>25</v>
      </c>
      <c r="I198" t="s">
        <v>99</v>
      </c>
      <c r="J198" t="s">
        <v>87</v>
      </c>
      <c r="K198" t="s">
        <v>790</v>
      </c>
      <c r="L198" t="s">
        <v>81</v>
      </c>
      <c r="M198" s="2">
        <v>2936.4827260917</v>
      </c>
      <c r="N198" s="2">
        <v>362.66319536793901</v>
      </c>
      <c r="O198" t="s">
        <v>62</v>
      </c>
      <c r="P198">
        <v>2</v>
      </c>
      <c r="Q198" t="s">
        <v>31</v>
      </c>
      <c r="R198" t="s">
        <v>133</v>
      </c>
      <c r="S198" s="2">
        <v>21.648651761204199</v>
      </c>
      <c r="T198" s="2">
        <v>35.1378966758109</v>
      </c>
      <c r="U198" t="str">
        <f>_xlfn.IFS(Table13[[#This Row],[Risk_Score]]&gt;80,"High",AND(Table13[[#This Row],[Risk_Score]]&lt;=80,Table13[[#This Row],[Risk_Score]]&gt;45),"Normal",Table13[[#This Row],[Risk_Score]]&lt;=45,"Low")</f>
        <v>Low</v>
      </c>
      <c r="V198" s="7">
        <f t="shared" si="3"/>
        <v>2573.8195307237602</v>
      </c>
    </row>
    <row r="199" spans="1:22">
      <c r="A199" t="s">
        <v>791</v>
      </c>
      <c r="B199" t="s">
        <v>792</v>
      </c>
      <c r="C199" t="s">
        <v>85</v>
      </c>
      <c r="D199" s="2">
        <v>4705.3002528144298</v>
      </c>
      <c r="E199" s="4">
        <v>45805</v>
      </c>
      <c r="F199" t="s">
        <v>793</v>
      </c>
      <c r="G199" t="s">
        <v>68</v>
      </c>
      <c r="H199" t="s">
        <v>25</v>
      </c>
      <c r="I199" t="s">
        <v>99</v>
      </c>
      <c r="J199" t="s">
        <v>87</v>
      </c>
      <c r="K199" t="s">
        <v>794</v>
      </c>
      <c r="L199" t="s">
        <v>53</v>
      </c>
      <c r="M199" s="2">
        <v>4799.3873056292896</v>
      </c>
      <c r="N199" s="2">
        <v>0</v>
      </c>
      <c r="O199" t="s">
        <v>43</v>
      </c>
      <c r="P199">
        <v>1</v>
      </c>
      <c r="Q199" t="s">
        <v>31</v>
      </c>
      <c r="R199" t="s">
        <v>45</v>
      </c>
      <c r="S199" s="2">
        <v>-22.077889386600301</v>
      </c>
      <c r="T199" s="2">
        <v>72.649674633742293</v>
      </c>
      <c r="U199" t="str">
        <f>_xlfn.IFS(Table13[[#This Row],[Risk_Score]]&gt;80,"High",AND(Table13[[#This Row],[Risk_Score]]&lt;=80,Table13[[#This Row],[Risk_Score]]&gt;45),"Normal",Table13[[#This Row],[Risk_Score]]&lt;=45,"Low")</f>
        <v>Normal</v>
      </c>
      <c r="V199" s="7">
        <f t="shared" si="3"/>
        <v>4799.3873056292896</v>
      </c>
    </row>
    <row r="200" spans="1:22">
      <c r="A200" t="s">
        <v>795</v>
      </c>
      <c r="B200" t="s">
        <v>738</v>
      </c>
      <c r="C200" t="s">
        <v>48</v>
      </c>
      <c r="D200" s="2">
        <v>41921.537462597</v>
      </c>
      <c r="E200" s="4">
        <v>45807</v>
      </c>
      <c r="F200" t="s">
        <v>796</v>
      </c>
      <c r="G200" t="s">
        <v>172</v>
      </c>
      <c r="H200" t="s">
        <v>38</v>
      </c>
      <c r="I200" t="s">
        <v>99</v>
      </c>
      <c r="J200" t="s">
        <v>60</v>
      </c>
      <c r="K200" t="s">
        <v>797</v>
      </c>
      <c r="L200" t="s">
        <v>81</v>
      </c>
      <c r="M200" s="2">
        <v>2511.4067386248498</v>
      </c>
      <c r="N200" s="2">
        <v>134.07161480596</v>
      </c>
      <c r="O200" t="s">
        <v>43</v>
      </c>
      <c r="P200">
        <v>3</v>
      </c>
      <c r="Q200" t="s">
        <v>44</v>
      </c>
      <c r="R200" t="s">
        <v>133</v>
      </c>
      <c r="S200" s="2">
        <v>-18.843981547536899</v>
      </c>
      <c r="T200" s="2">
        <v>5.6483424003482101</v>
      </c>
      <c r="U200" t="str">
        <f>_xlfn.IFS(Table13[[#This Row],[Risk_Score]]&gt;80,"High",AND(Table13[[#This Row],[Risk_Score]]&lt;=80,Table13[[#This Row],[Risk_Score]]&gt;45),"Normal",Table13[[#This Row],[Risk_Score]]&lt;=45,"Low")</f>
        <v>Low</v>
      </c>
      <c r="V200" s="7">
        <f t="shared" si="3"/>
        <v>2377.3351238188902</v>
      </c>
    </row>
    <row r="201" spans="1:22">
      <c r="A201" t="s">
        <v>798</v>
      </c>
      <c r="B201" t="s">
        <v>799</v>
      </c>
      <c r="C201" t="s">
        <v>22</v>
      </c>
      <c r="D201" s="2">
        <v>42335.751680796398</v>
      </c>
      <c r="E201" s="4">
        <v>45809</v>
      </c>
      <c r="F201" t="s">
        <v>800</v>
      </c>
      <c r="G201" t="s">
        <v>141</v>
      </c>
      <c r="H201" t="s">
        <v>1762</v>
      </c>
      <c r="I201" t="s">
        <v>26</v>
      </c>
      <c r="J201" t="s">
        <v>60</v>
      </c>
      <c r="K201" t="s">
        <v>801</v>
      </c>
      <c r="L201" t="s">
        <v>120</v>
      </c>
      <c r="M201" s="2">
        <v>3536.45981398804</v>
      </c>
      <c r="N201" s="2">
        <v>0</v>
      </c>
      <c r="O201" t="s">
        <v>54</v>
      </c>
      <c r="P201">
        <v>4</v>
      </c>
      <c r="Q201" t="s">
        <v>31</v>
      </c>
      <c r="R201" t="s">
        <v>45</v>
      </c>
      <c r="S201" s="2">
        <v>-2.6304755328106499</v>
      </c>
      <c r="T201" s="2">
        <v>87.441455419647895</v>
      </c>
      <c r="U201" t="str">
        <f>_xlfn.IFS(Table13[[#This Row],[Risk_Score]]&gt;80,"High",AND(Table13[[#This Row],[Risk_Score]]&lt;=80,Table13[[#This Row],[Risk_Score]]&gt;45),"Normal",Table13[[#This Row],[Risk_Score]]&lt;=45,"Low")</f>
        <v>High</v>
      </c>
      <c r="V201" s="7">
        <f t="shared" si="3"/>
        <v>3536.45981398804</v>
      </c>
    </row>
    <row r="202" spans="1:22">
      <c r="A202" t="s">
        <v>802</v>
      </c>
      <c r="B202" t="s">
        <v>257</v>
      </c>
      <c r="C202" t="s">
        <v>35</v>
      </c>
      <c r="D202" s="2">
        <v>18954.742408861701</v>
      </c>
      <c r="E202" s="4">
        <v>45809</v>
      </c>
      <c r="F202" t="s">
        <v>803</v>
      </c>
      <c r="G202" t="s">
        <v>163</v>
      </c>
      <c r="H202" t="s">
        <v>38</v>
      </c>
      <c r="I202" t="s">
        <v>75</v>
      </c>
      <c r="J202" t="s">
        <v>60</v>
      </c>
      <c r="K202" t="s">
        <v>804</v>
      </c>
      <c r="L202" t="s">
        <v>53</v>
      </c>
      <c r="M202" s="2">
        <v>3120.8376980124199</v>
      </c>
      <c r="N202" s="2">
        <v>0</v>
      </c>
      <c r="O202" t="s">
        <v>54</v>
      </c>
      <c r="P202">
        <v>1</v>
      </c>
      <c r="Q202" t="s">
        <v>1763</v>
      </c>
      <c r="R202" t="s">
        <v>32</v>
      </c>
      <c r="S202" s="2">
        <v>-2.8611578969198699</v>
      </c>
      <c r="T202" s="2">
        <v>85.017194520504802</v>
      </c>
      <c r="U202" t="str">
        <f>_xlfn.IFS(Table13[[#This Row],[Risk_Score]]&gt;80,"High",AND(Table13[[#This Row],[Risk_Score]]&lt;=80,Table13[[#This Row],[Risk_Score]]&gt;45),"Normal",Table13[[#This Row],[Risk_Score]]&lt;=45,"Low")</f>
        <v>High</v>
      </c>
      <c r="V202" s="7">
        <f t="shared" si="3"/>
        <v>3120.8376980124199</v>
      </c>
    </row>
    <row r="203" spans="1:22">
      <c r="A203" t="s">
        <v>805</v>
      </c>
      <c r="B203" t="s">
        <v>277</v>
      </c>
      <c r="C203" t="s">
        <v>48</v>
      </c>
      <c r="D203" s="2">
        <v>26767.732836252901</v>
      </c>
      <c r="E203" s="4">
        <v>45810</v>
      </c>
      <c r="F203" t="s">
        <v>806</v>
      </c>
      <c r="G203" t="s">
        <v>181</v>
      </c>
      <c r="H203" t="s">
        <v>25</v>
      </c>
      <c r="I203" t="s">
        <v>75</v>
      </c>
      <c r="J203" t="s">
        <v>60</v>
      </c>
      <c r="K203" t="s">
        <v>807</v>
      </c>
      <c r="L203" t="s">
        <v>81</v>
      </c>
      <c r="M203" s="2">
        <v>455.730386486128</v>
      </c>
      <c r="N203" s="2">
        <v>164.68963465103801</v>
      </c>
      <c r="O203" t="s">
        <v>43</v>
      </c>
      <c r="P203">
        <v>2</v>
      </c>
      <c r="Q203" t="s">
        <v>95</v>
      </c>
      <c r="R203" t="s">
        <v>45</v>
      </c>
      <c r="S203" s="2">
        <v>-25.793911183953501</v>
      </c>
      <c r="T203" s="2">
        <v>72.618948386210505</v>
      </c>
      <c r="U203" t="str">
        <f>_xlfn.IFS(Table13[[#This Row],[Risk_Score]]&gt;80,"High",AND(Table13[[#This Row],[Risk_Score]]&lt;=80,Table13[[#This Row],[Risk_Score]]&gt;45),"Normal",Table13[[#This Row],[Risk_Score]]&lt;=45,"Low")</f>
        <v>Normal</v>
      </c>
      <c r="V203" s="7">
        <f t="shared" si="3"/>
        <v>291.04075183509002</v>
      </c>
    </row>
    <row r="204" spans="1:22">
      <c r="A204" t="s">
        <v>808</v>
      </c>
      <c r="B204" t="s">
        <v>809</v>
      </c>
      <c r="C204" t="s">
        <v>22</v>
      </c>
      <c r="D204" s="2">
        <v>26909.444494032101</v>
      </c>
      <c r="E204" s="4">
        <v>45810</v>
      </c>
      <c r="F204" t="s">
        <v>810</v>
      </c>
      <c r="G204" t="s">
        <v>24</v>
      </c>
      <c r="H204" t="s">
        <v>1762</v>
      </c>
      <c r="I204" t="s">
        <v>99</v>
      </c>
      <c r="J204" t="s">
        <v>87</v>
      </c>
      <c r="K204" t="s">
        <v>811</v>
      </c>
      <c r="L204" t="s">
        <v>155</v>
      </c>
      <c r="M204" s="2">
        <v>3363.3170719916998</v>
      </c>
      <c r="N204" s="2">
        <v>0</v>
      </c>
      <c r="O204" t="s">
        <v>54</v>
      </c>
      <c r="P204">
        <v>0</v>
      </c>
      <c r="Q204" t="s">
        <v>31</v>
      </c>
      <c r="R204" t="s">
        <v>45</v>
      </c>
      <c r="S204" s="2">
        <v>4.2976616016699296</v>
      </c>
      <c r="T204" s="2">
        <v>35.577408420066</v>
      </c>
      <c r="U204" t="str">
        <f>_xlfn.IFS(Table13[[#This Row],[Risk_Score]]&gt;80,"High",AND(Table13[[#This Row],[Risk_Score]]&lt;=80,Table13[[#This Row],[Risk_Score]]&gt;45),"Normal",Table13[[#This Row],[Risk_Score]]&lt;=45,"Low")</f>
        <v>Low</v>
      </c>
      <c r="V204" s="7">
        <f t="shared" si="3"/>
        <v>3363.3170719916998</v>
      </c>
    </row>
    <row r="205" spans="1:22">
      <c r="A205" t="s">
        <v>812</v>
      </c>
      <c r="B205" t="s">
        <v>813</v>
      </c>
      <c r="C205" t="s">
        <v>85</v>
      </c>
      <c r="D205" s="2">
        <v>13951.599914208</v>
      </c>
      <c r="E205" s="4">
        <v>45810</v>
      </c>
      <c r="F205" t="s">
        <v>814</v>
      </c>
      <c r="G205" t="s">
        <v>181</v>
      </c>
      <c r="H205" t="s">
        <v>25</v>
      </c>
      <c r="I205" t="s">
        <v>75</v>
      </c>
      <c r="J205" t="s">
        <v>87</v>
      </c>
      <c r="K205" t="s">
        <v>815</v>
      </c>
      <c r="L205" t="s">
        <v>42</v>
      </c>
      <c r="M205" s="2">
        <v>3577.6948139833898</v>
      </c>
      <c r="N205" s="2">
        <v>0</v>
      </c>
      <c r="O205" t="s">
        <v>54</v>
      </c>
      <c r="P205">
        <v>2</v>
      </c>
      <c r="Q205" t="s">
        <v>95</v>
      </c>
      <c r="R205" t="s">
        <v>133</v>
      </c>
      <c r="S205" s="2">
        <v>14.335697767857299</v>
      </c>
      <c r="T205" s="2">
        <v>48.3011855548379</v>
      </c>
      <c r="U205" t="str">
        <f>_xlfn.IFS(Table13[[#This Row],[Risk_Score]]&gt;80,"High",AND(Table13[[#This Row],[Risk_Score]]&lt;=80,Table13[[#This Row],[Risk_Score]]&gt;45),"Normal",Table13[[#This Row],[Risk_Score]]&lt;=45,"Low")</f>
        <v>Normal</v>
      </c>
      <c r="V205" s="7">
        <f t="shared" si="3"/>
        <v>3577.6948139833898</v>
      </c>
    </row>
    <row r="206" spans="1:22">
      <c r="A206" t="s">
        <v>816</v>
      </c>
      <c r="B206" t="s">
        <v>277</v>
      </c>
      <c r="C206" t="s">
        <v>85</v>
      </c>
      <c r="D206" s="2">
        <v>40361.822433232999</v>
      </c>
      <c r="E206" s="4">
        <v>45811</v>
      </c>
      <c r="F206" t="s">
        <v>817</v>
      </c>
      <c r="G206" t="s">
        <v>92</v>
      </c>
      <c r="H206" t="s">
        <v>1762</v>
      </c>
      <c r="I206" t="s">
        <v>99</v>
      </c>
      <c r="J206" t="s">
        <v>87</v>
      </c>
      <c r="K206" t="s">
        <v>818</v>
      </c>
      <c r="L206" t="s">
        <v>53</v>
      </c>
      <c r="M206" s="2">
        <v>3139.9916481377099</v>
      </c>
      <c r="N206" s="2">
        <v>0</v>
      </c>
      <c r="O206" t="s">
        <v>62</v>
      </c>
      <c r="P206">
        <v>3</v>
      </c>
      <c r="Q206" t="s">
        <v>55</v>
      </c>
      <c r="R206" t="s">
        <v>133</v>
      </c>
      <c r="S206" s="2">
        <v>-19.907334453987499</v>
      </c>
      <c r="T206" s="2">
        <v>78.9761773734635</v>
      </c>
      <c r="U206" t="str">
        <f>_xlfn.IFS(Table13[[#This Row],[Risk_Score]]&gt;80,"High",AND(Table13[[#This Row],[Risk_Score]]&lt;=80,Table13[[#This Row],[Risk_Score]]&gt;45),"Normal",Table13[[#This Row],[Risk_Score]]&lt;=45,"Low")</f>
        <v>Normal</v>
      </c>
      <c r="V206" s="7">
        <f t="shared" si="3"/>
        <v>3139.9916481377099</v>
      </c>
    </row>
    <row r="207" spans="1:22">
      <c r="A207" t="s">
        <v>819</v>
      </c>
      <c r="B207" t="s">
        <v>148</v>
      </c>
      <c r="C207" t="s">
        <v>22</v>
      </c>
      <c r="D207" s="2">
        <v>5923.1336006699003</v>
      </c>
      <c r="E207" s="4">
        <v>45812</v>
      </c>
      <c r="F207" t="s">
        <v>820</v>
      </c>
      <c r="G207" t="s">
        <v>163</v>
      </c>
      <c r="H207" t="s">
        <v>38</v>
      </c>
      <c r="I207" t="s">
        <v>99</v>
      </c>
      <c r="J207" t="s">
        <v>60</v>
      </c>
      <c r="K207" t="s">
        <v>821</v>
      </c>
      <c r="L207" t="s">
        <v>53</v>
      </c>
      <c r="M207" s="2">
        <v>3448.2440180641001</v>
      </c>
      <c r="N207" s="2">
        <v>0</v>
      </c>
      <c r="O207" t="s">
        <v>62</v>
      </c>
      <c r="P207">
        <v>2</v>
      </c>
      <c r="Q207" t="s">
        <v>31</v>
      </c>
      <c r="R207" t="s">
        <v>133</v>
      </c>
      <c r="S207" s="2">
        <v>-27.0862366022603</v>
      </c>
      <c r="T207" s="2">
        <v>78.793093843776703</v>
      </c>
      <c r="U207" t="str">
        <f>_xlfn.IFS(Table13[[#This Row],[Risk_Score]]&gt;80,"High",AND(Table13[[#This Row],[Risk_Score]]&lt;=80,Table13[[#This Row],[Risk_Score]]&gt;45),"Normal",Table13[[#This Row],[Risk_Score]]&lt;=45,"Low")</f>
        <v>Normal</v>
      </c>
      <c r="V207" s="7">
        <f t="shared" si="3"/>
        <v>3448.2440180641001</v>
      </c>
    </row>
    <row r="208" spans="1:22">
      <c r="A208" t="s">
        <v>822</v>
      </c>
      <c r="B208" t="s">
        <v>387</v>
      </c>
      <c r="C208" t="s">
        <v>85</v>
      </c>
      <c r="D208" s="2">
        <v>15878.209456595099</v>
      </c>
      <c r="E208" s="4">
        <v>45812</v>
      </c>
      <c r="F208" t="s">
        <v>823</v>
      </c>
      <c r="G208" t="s">
        <v>172</v>
      </c>
      <c r="H208" t="s">
        <v>1762</v>
      </c>
      <c r="I208" t="s">
        <v>26</v>
      </c>
      <c r="J208" t="s">
        <v>60</v>
      </c>
      <c r="K208" t="s">
        <v>824</v>
      </c>
      <c r="L208" t="s">
        <v>42</v>
      </c>
      <c r="M208" s="2">
        <v>389.81089743196799</v>
      </c>
      <c r="N208" s="2">
        <v>0</v>
      </c>
      <c r="O208" t="s">
        <v>62</v>
      </c>
      <c r="P208">
        <v>2</v>
      </c>
      <c r="Q208" t="s">
        <v>31</v>
      </c>
      <c r="R208" t="s">
        <v>133</v>
      </c>
      <c r="S208" s="2">
        <v>27.711892460879898</v>
      </c>
      <c r="T208" s="2">
        <v>26.360543980688099</v>
      </c>
      <c r="U208" t="str">
        <f>_xlfn.IFS(Table13[[#This Row],[Risk_Score]]&gt;80,"High",AND(Table13[[#This Row],[Risk_Score]]&lt;=80,Table13[[#This Row],[Risk_Score]]&gt;45),"Normal",Table13[[#This Row],[Risk_Score]]&lt;=45,"Low")</f>
        <v>Low</v>
      </c>
      <c r="V208" s="7">
        <f t="shared" si="3"/>
        <v>389.81089743196799</v>
      </c>
    </row>
    <row r="209" spans="1:22">
      <c r="A209" t="s">
        <v>825</v>
      </c>
      <c r="B209" t="s">
        <v>157</v>
      </c>
      <c r="C209" t="s">
        <v>48</v>
      </c>
      <c r="D209" s="2">
        <v>45601.435201263899</v>
      </c>
      <c r="E209" s="4">
        <v>45814</v>
      </c>
      <c r="F209" t="s">
        <v>826</v>
      </c>
      <c r="G209" t="s">
        <v>172</v>
      </c>
      <c r="H209" t="s">
        <v>38</v>
      </c>
      <c r="I209" t="s">
        <v>26</v>
      </c>
      <c r="J209" t="s">
        <v>60</v>
      </c>
      <c r="K209" t="s">
        <v>827</v>
      </c>
      <c r="L209" t="s">
        <v>42</v>
      </c>
      <c r="M209" s="2">
        <v>2085.4601326986799</v>
      </c>
      <c r="N209" s="2">
        <v>0</v>
      </c>
      <c r="O209" t="s">
        <v>43</v>
      </c>
      <c r="P209">
        <v>1</v>
      </c>
      <c r="Q209" t="s">
        <v>55</v>
      </c>
      <c r="R209" t="s">
        <v>32</v>
      </c>
      <c r="S209" s="2">
        <v>7.1740934867195802</v>
      </c>
      <c r="T209" s="2">
        <v>86.642740289875604</v>
      </c>
      <c r="U209" t="str">
        <f>_xlfn.IFS(Table13[[#This Row],[Risk_Score]]&gt;80,"High",AND(Table13[[#This Row],[Risk_Score]]&lt;=80,Table13[[#This Row],[Risk_Score]]&gt;45),"Normal",Table13[[#This Row],[Risk_Score]]&lt;=45,"Low")</f>
        <v>High</v>
      </c>
      <c r="V209" s="7">
        <f t="shared" si="3"/>
        <v>2085.4601326986799</v>
      </c>
    </row>
    <row r="210" spans="1:22">
      <c r="A210" t="s">
        <v>828</v>
      </c>
      <c r="B210" t="s">
        <v>126</v>
      </c>
      <c r="C210" t="s">
        <v>22</v>
      </c>
      <c r="D210" s="2">
        <v>17435.929070448201</v>
      </c>
      <c r="E210" s="4">
        <v>45815</v>
      </c>
      <c r="F210" t="s">
        <v>829</v>
      </c>
      <c r="G210" t="s">
        <v>181</v>
      </c>
      <c r="H210" t="s">
        <v>38</v>
      </c>
      <c r="I210" t="s">
        <v>51</v>
      </c>
      <c r="J210" t="s">
        <v>87</v>
      </c>
      <c r="K210" t="s">
        <v>488</v>
      </c>
      <c r="L210" t="s">
        <v>120</v>
      </c>
      <c r="M210" s="2">
        <v>532.66307769618197</v>
      </c>
      <c r="N210" s="2">
        <v>0</v>
      </c>
      <c r="O210" t="s">
        <v>43</v>
      </c>
      <c r="P210">
        <v>2</v>
      </c>
      <c r="Q210" t="s">
        <v>31</v>
      </c>
      <c r="R210" t="s">
        <v>133</v>
      </c>
      <c r="S210" s="2">
        <v>14.1752368776277</v>
      </c>
      <c r="T210" s="2">
        <v>55.700680631312899</v>
      </c>
      <c r="U210" t="str">
        <f>_xlfn.IFS(Table13[[#This Row],[Risk_Score]]&gt;80,"High",AND(Table13[[#This Row],[Risk_Score]]&lt;=80,Table13[[#This Row],[Risk_Score]]&gt;45),"Normal",Table13[[#This Row],[Risk_Score]]&lt;=45,"Low")</f>
        <v>Normal</v>
      </c>
      <c r="V210" s="7">
        <f t="shared" si="3"/>
        <v>532.66307769618197</v>
      </c>
    </row>
    <row r="211" spans="1:22">
      <c r="A211" t="s">
        <v>830</v>
      </c>
      <c r="B211" t="s">
        <v>813</v>
      </c>
      <c r="C211" t="s">
        <v>35</v>
      </c>
      <c r="D211" s="2">
        <v>46329.826237126603</v>
      </c>
      <c r="E211" s="4">
        <v>45815</v>
      </c>
      <c r="F211" t="s">
        <v>831</v>
      </c>
      <c r="G211" t="s">
        <v>163</v>
      </c>
      <c r="H211" t="s">
        <v>1762</v>
      </c>
      <c r="I211" t="s">
        <v>99</v>
      </c>
      <c r="J211" t="s">
        <v>87</v>
      </c>
      <c r="K211" t="s">
        <v>832</v>
      </c>
      <c r="L211" t="s">
        <v>42</v>
      </c>
      <c r="M211" s="2">
        <v>3923.3757146824501</v>
      </c>
      <c r="N211" s="2">
        <v>0</v>
      </c>
      <c r="O211" t="s">
        <v>62</v>
      </c>
      <c r="P211">
        <v>2</v>
      </c>
      <c r="Q211" t="s">
        <v>95</v>
      </c>
      <c r="R211" t="s">
        <v>32</v>
      </c>
      <c r="S211" s="2">
        <v>29.555863114899601</v>
      </c>
      <c r="T211" s="2">
        <v>43.734757243259502</v>
      </c>
      <c r="U211" t="str">
        <f>_xlfn.IFS(Table13[[#This Row],[Risk_Score]]&gt;80,"High",AND(Table13[[#This Row],[Risk_Score]]&lt;=80,Table13[[#This Row],[Risk_Score]]&gt;45),"Normal",Table13[[#This Row],[Risk_Score]]&lt;=45,"Low")</f>
        <v>Low</v>
      </c>
      <c r="V211" s="7">
        <f t="shared" si="3"/>
        <v>3923.3757146824501</v>
      </c>
    </row>
    <row r="212" spans="1:22">
      <c r="A212" t="s">
        <v>833</v>
      </c>
      <c r="B212" t="s">
        <v>207</v>
      </c>
      <c r="C212" t="s">
        <v>22</v>
      </c>
      <c r="D212" s="2">
        <v>-5000</v>
      </c>
      <c r="E212" s="4">
        <v>45816</v>
      </c>
      <c r="F212" t="s">
        <v>834</v>
      </c>
      <c r="G212" t="s">
        <v>181</v>
      </c>
      <c r="H212" t="s">
        <v>38</v>
      </c>
      <c r="I212" t="s">
        <v>99</v>
      </c>
      <c r="J212" t="s">
        <v>87</v>
      </c>
      <c r="K212" t="s">
        <v>835</v>
      </c>
      <c r="L212" t="s">
        <v>42</v>
      </c>
      <c r="M212" s="2">
        <v>3955.66308051326</v>
      </c>
      <c r="N212" s="2">
        <v>434.847942425817</v>
      </c>
      <c r="O212" t="s">
        <v>54</v>
      </c>
      <c r="P212">
        <v>4</v>
      </c>
      <c r="Q212" t="s">
        <v>44</v>
      </c>
      <c r="R212" t="s">
        <v>32</v>
      </c>
      <c r="S212" s="2">
        <v>-13.557504617743501</v>
      </c>
      <c r="T212" s="2">
        <v>1.0672287848834101</v>
      </c>
      <c r="U212" t="str">
        <f>_xlfn.IFS(Table13[[#This Row],[Risk_Score]]&gt;80,"High",AND(Table13[[#This Row],[Risk_Score]]&lt;=80,Table13[[#This Row],[Risk_Score]]&gt;45),"Normal",Table13[[#This Row],[Risk_Score]]&lt;=45,"Low")</f>
        <v>Low</v>
      </c>
      <c r="V212" s="7">
        <f t="shared" si="3"/>
        <v>3520.8151380874401</v>
      </c>
    </row>
    <row r="213" spans="1:22">
      <c r="A213" t="s">
        <v>836</v>
      </c>
      <c r="B213" t="s">
        <v>334</v>
      </c>
      <c r="C213" t="s">
        <v>22</v>
      </c>
      <c r="D213" s="2">
        <v>37878.351981918597</v>
      </c>
      <c r="E213" s="4">
        <v>45816</v>
      </c>
      <c r="F213" t="s">
        <v>837</v>
      </c>
      <c r="G213" t="s">
        <v>59</v>
      </c>
      <c r="H213" t="s">
        <v>38</v>
      </c>
      <c r="I213" t="s">
        <v>51</v>
      </c>
      <c r="J213" t="s">
        <v>87</v>
      </c>
      <c r="K213" t="s">
        <v>838</v>
      </c>
      <c r="L213" t="s">
        <v>81</v>
      </c>
      <c r="M213" s="2">
        <v>4661.9049697217897</v>
      </c>
      <c r="N213" s="2">
        <v>0</v>
      </c>
      <c r="O213" t="s">
        <v>62</v>
      </c>
      <c r="P213">
        <v>0</v>
      </c>
      <c r="Q213" t="s">
        <v>55</v>
      </c>
      <c r="R213" t="s">
        <v>45</v>
      </c>
      <c r="S213" s="2">
        <v>15.360254506444599</v>
      </c>
      <c r="T213" s="2">
        <v>4.7838812507038799</v>
      </c>
      <c r="U213" t="str">
        <f>_xlfn.IFS(Table13[[#This Row],[Risk_Score]]&gt;80,"High",AND(Table13[[#This Row],[Risk_Score]]&lt;=80,Table13[[#This Row],[Risk_Score]]&gt;45),"Normal",Table13[[#This Row],[Risk_Score]]&lt;=45,"Low")</f>
        <v>Low</v>
      </c>
      <c r="V213" s="7">
        <f t="shared" si="3"/>
        <v>4661.9049697217897</v>
      </c>
    </row>
    <row r="214" spans="1:22">
      <c r="A214" t="s">
        <v>839</v>
      </c>
      <c r="B214" t="s">
        <v>428</v>
      </c>
      <c r="C214" t="s">
        <v>48</v>
      </c>
      <c r="D214" s="2">
        <v>10329.5903216565</v>
      </c>
      <c r="E214" s="4">
        <v>45817</v>
      </c>
      <c r="F214" t="s">
        <v>840</v>
      </c>
      <c r="G214" t="s">
        <v>24</v>
      </c>
      <c r="H214" t="s">
        <v>1762</v>
      </c>
      <c r="I214" t="s">
        <v>99</v>
      </c>
      <c r="J214" t="s">
        <v>60</v>
      </c>
      <c r="K214" t="s">
        <v>841</v>
      </c>
      <c r="L214" t="s">
        <v>81</v>
      </c>
      <c r="M214" s="2">
        <v>2834.0254018837099</v>
      </c>
      <c r="N214" s="2">
        <v>0</v>
      </c>
      <c r="O214" t="s">
        <v>43</v>
      </c>
      <c r="P214">
        <v>0</v>
      </c>
      <c r="Q214" t="s">
        <v>31</v>
      </c>
      <c r="R214" t="s">
        <v>133</v>
      </c>
      <c r="S214" s="2">
        <v>-4.1049402529494499</v>
      </c>
      <c r="T214" s="2">
        <v>63.055923434573799</v>
      </c>
      <c r="U214" t="str">
        <f>_xlfn.IFS(Table13[[#This Row],[Risk_Score]]&gt;80,"High",AND(Table13[[#This Row],[Risk_Score]]&lt;=80,Table13[[#This Row],[Risk_Score]]&gt;45),"Normal",Table13[[#This Row],[Risk_Score]]&lt;=45,"Low")</f>
        <v>Normal</v>
      </c>
      <c r="V214" s="7">
        <f t="shared" si="3"/>
        <v>2834.0254018837099</v>
      </c>
    </row>
    <row r="215" spans="1:22">
      <c r="A215" t="s">
        <v>842</v>
      </c>
      <c r="B215" t="s">
        <v>234</v>
      </c>
      <c r="C215" t="s">
        <v>35</v>
      </c>
      <c r="D215" s="2">
        <v>42005.464086882901</v>
      </c>
      <c r="E215" s="4">
        <v>45817</v>
      </c>
      <c r="F215" t="s">
        <v>843</v>
      </c>
      <c r="G215" t="s">
        <v>181</v>
      </c>
      <c r="H215" t="s">
        <v>38</v>
      </c>
      <c r="I215" t="s">
        <v>51</v>
      </c>
      <c r="J215" t="s">
        <v>87</v>
      </c>
      <c r="K215" t="s">
        <v>844</v>
      </c>
      <c r="L215" t="s">
        <v>81</v>
      </c>
      <c r="M215" s="2">
        <v>1046.2557512656399</v>
      </c>
      <c r="N215" s="2">
        <v>0</v>
      </c>
      <c r="O215" t="s">
        <v>43</v>
      </c>
      <c r="P215">
        <v>1</v>
      </c>
      <c r="Q215" t="s">
        <v>44</v>
      </c>
      <c r="R215" t="s">
        <v>32</v>
      </c>
      <c r="S215" s="2">
        <v>-18.995679083415599</v>
      </c>
      <c r="T215" s="2">
        <v>32.413517383279597</v>
      </c>
      <c r="U215" t="str">
        <f>_xlfn.IFS(Table13[[#This Row],[Risk_Score]]&gt;80,"High",AND(Table13[[#This Row],[Risk_Score]]&lt;=80,Table13[[#This Row],[Risk_Score]]&gt;45),"Normal",Table13[[#This Row],[Risk_Score]]&lt;=45,"Low")</f>
        <v>Low</v>
      </c>
      <c r="V215" s="7">
        <f t="shared" si="3"/>
        <v>1046.2557512656399</v>
      </c>
    </row>
    <row r="216" spans="1:22">
      <c r="A216" t="s">
        <v>845</v>
      </c>
      <c r="B216" t="s">
        <v>846</v>
      </c>
      <c r="C216" t="s">
        <v>85</v>
      </c>
      <c r="D216" s="2">
        <v>28241.858091739901</v>
      </c>
      <c r="E216" s="4">
        <v>45817</v>
      </c>
      <c r="F216" t="s">
        <v>847</v>
      </c>
      <c r="G216" t="s">
        <v>172</v>
      </c>
      <c r="H216" t="s">
        <v>25</v>
      </c>
      <c r="I216" t="s">
        <v>99</v>
      </c>
      <c r="J216" t="s">
        <v>87</v>
      </c>
      <c r="K216" t="s">
        <v>848</v>
      </c>
      <c r="L216" t="s">
        <v>53</v>
      </c>
      <c r="M216" s="2">
        <v>3166.6603074460299</v>
      </c>
      <c r="N216" s="2">
        <v>0</v>
      </c>
      <c r="O216" t="s">
        <v>43</v>
      </c>
      <c r="P216">
        <v>2</v>
      </c>
      <c r="Q216" t="s">
        <v>1763</v>
      </c>
      <c r="R216" t="s">
        <v>133</v>
      </c>
      <c r="S216" s="2">
        <v>-16.526431843866199</v>
      </c>
      <c r="T216" s="2">
        <v>84.479173786591105</v>
      </c>
      <c r="U216" t="str">
        <f>_xlfn.IFS(Table13[[#This Row],[Risk_Score]]&gt;80,"High",AND(Table13[[#This Row],[Risk_Score]]&lt;=80,Table13[[#This Row],[Risk_Score]]&gt;45),"Normal",Table13[[#This Row],[Risk_Score]]&lt;=45,"Low")</f>
        <v>High</v>
      </c>
      <c r="V216" s="7">
        <f t="shared" si="3"/>
        <v>3166.6603074460299</v>
      </c>
    </row>
    <row r="217" spans="1:22">
      <c r="A217" t="s">
        <v>849</v>
      </c>
      <c r="B217" t="s">
        <v>850</v>
      </c>
      <c r="C217" t="s">
        <v>48</v>
      </c>
      <c r="D217" s="2">
        <v>25324.8431673911</v>
      </c>
      <c r="E217" s="4">
        <v>45818</v>
      </c>
      <c r="F217" t="s">
        <v>851</v>
      </c>
      <c r="G217" t="s">
        <v>59</v>
      </c>
      <c r="H217" t="s">
        <v>1762</v>
      </c>
      <c r="I217" t="s">
        <v>99</v>
      </c>
      <c r="J217" t="s">
        <v>87</v>
      </c>
      <c r="K217" t="s">
        <v>852</v>
      </c>
      <c r="L217" t="s">
        <v>29</v>
      </c>
      <c r="M217" s="2">
        <v>2915.8783354642301</v>
      </c>
      <c r="N217" s="2">
        <v>0</v>
      </c>
      <c r="O217" t="s">
        <v>54</v>
      </c>
      <c r="P217">
        <v>2</v>
      </c>
      <c r="Q217" t="s">
        <v>1763</v>
      </c>
      <c r="R217" t="s">
        <v>32</v>
      </c>
      <c r="S217" s="2">
        <v>-29.673377448498599</v>
      </c>
      <c r="T217" s="2">
        <v>99.822245060905104</v>
      </c>
      <c r="U217" t="str">
        <f>_xlfn.IFS(Table13[[#This Row],[Risk_Score]]&gt;80,"High",AND(Table13[[#This Row],[Risk_Score]]&lt;=80,Table13[[#This Row],[Risk_Score]]&gt;45),"Normal",Table13[[#This Row],[Risk_Score]]&lt;=45,"Low")</f>
        <v>High</v>
      </c>
      <c r="V217" s="7">
        <f t="shared" si="3"/>
        <v>2915.8783354642301</v>
      </c>
    </row>
    <row r="218" spans="1:22">
      <c r="A218" t="s">
        <v>853</v>
      </c>
      <c r="B218" t="s">
        <v>854</v>
      </c>
      <c r="C218" t="s">
        <v>85</v>
      </c>
      <c r="D218" s="2">
        <v>40837.648187131803</v>
      </c>
      <c r="E218" s="4">
        <v>45818</v>
      </c>
      <c r="F218" t="s">
        <v>855</v>
      </c>
      <c r="G218" t="s">
        <v>141</v>
      </c>
      <c r="H218" t="s">
        <v>38</v>
      </c>
      <c r="I218" t="s">
        <v>26</v>
      </c>
      <c r="J218" t="s">
        <v>60</v>
      </c>
      <c r="K218" t="s">
        <v>856</v>
      </c>
      <c r="L218" t="s">
        <v>120</v>
      </c>
      <c r="M218" s="2">
        <v>1866.45896468564</v>
      </c>
      <c r="N218" s="2">
        <v>0</v>
      </c>
      <c r="O218" t="s">
        <v>54</v>
      </c>
      <c r="P218">
        <v>3</v>
      </c>
      <c r="Q218" t="s">
        <v>55</v>
      </c>
      <c r="R218" t="s">
        <v>32</v>
      </c>
      <c r="S218" s="2">
        <v>1.68284694022796</v>
      </c>
      <c r="T218" s="2">
        <v>88.088142377473702</v>
      </c>
      <c r="U218" t="str">
        <f>_xlfn.IFS(Table13[[#This Row],[Risk_Score]]&gt;80,"High",AND(Table13[[#This Row],[Risk_Score]]&lt;=80,Table13[[#This Row],[Risk_Score]]&gt;45),"Normal",Table13[[#This Row],[Risk_Score]]&lt;=45,"Low")</f>
        <v>High</v>
      </c>
      <c r="V218" s="7">
        <f t="shared" si="3"/>
        <v>1866.45896468564</v>
      </c>
    </row>
    <row r="219" spans="1:22">
      <c r="A219" t="s">
        <v>857</v>
      </c>
      <c r="B219" t="s">
        <v>428</v>
      </c>
      <c r="C219" t="s">
        <v>85</v>
      </c>
      <c r="D219" s="2">
        <v>9397.4118867566194</v>
      </c>
      <c r="E219" s="4">
        <v>45819</v>
      </c>
      <c r="F219" t="s">
        <v>858</v>
      </c>
      <c r="G219" t="s">
        <v>92</v>
      </c>
      <c r="H219" t="s">
        <v>38</v>
      </c>
      <c r="I219" t="s">
        <v>51</v>
      </c>
      <c r="J219" t="s">
        <v>87</v>
      </c>
      <c r="K219" t="s">
        <v>859</v>
      </c>
      <c r="L219" t="s">
        <v>155</v>
      </c>
      <c r="M219" s="2">
        <v>2416.88667160143</v>
      </c>
      <c r="N219" s="2">
        <v>0</v>
      </c>
      <c r="O219" t="s">
        <v>62</v>
      </c>
      <c r="P219">
        <v>1</v>
      </c>
      <c r="Q219" t="s">
        <v>1763</v>
      </c>
      <c r="R219" t="s">
        <v>45</v>
      </c>
      <c r="S219" s="2">
        <v>0.88017144310965301</v>
      </c>
      <c r="T219" s="2">
        <v>98.444195358336799</v>
      </c>
      <c r="U219" t="str">
        <f>_xlfn.IFS(Table13[[#This Row],[Risk_Score]]&gt;80,"High",AND(Table13[[#This Row],[Risk_Score]]&lt;=80,Table13[[#This Row],[Risk_Score]]&gt;45),"Normal",Table13[[#This Row],[Risk_Score]]&lt;=45,"Low")</f>
        <v>High</v>
      </c>
      <c r="V219" s="7">
        <f t="shared" si="3"/>
        <v>2416.88667160143</v>
      </c>
    </row>
    <row r="220" spans="1:22">
      <c r="A220" t="s">
        <v>860</v>
      </c>
      <c r="B220" t="s">
        <v>850</v>
      </c>
      <c r="C220" t="s">
        <v>22</v>
      </c>
      <c r="D220" s="2">
        <v>41890.790371224401</v>
      </c>
      <c r="E220" s="4">
        <v>45820</v>
      </c>
      <c r="F220" t="s">
        <v>861</v>
      </c>
      <c r="G220" t="s">
        <v>163</v>
      </c>
      <c r="H220" t="s">
        <v>1762</v>
      </c>
      <c r="I220" t="s">
        <v>99</v>
      </c>
      <c r="J220" t="s">
        <v>87</v>
      </c>
      <c r="K220" t="s">
        <v>862</v>
      </c>
      <c r="L220" t="s">
        <v>81</v>
      </c>
      <c r="M220" s="2">
        <v>3851.4513914060699</v>
      </c>
      <c r="N220" s="2">
        <v>264.09463087817801</v>
      </c>
      <c r="O220" t="s">
        <v>43</v>
      </c>
      <c r="P220">
        <v>0</v>
      </c>
      <c r="Q220" t="s">
        <v>44</v>
      </c>
      <c r="R220" t="s">
        <v>45</v>
      </c>
      <c r="S220" s="2">
        <v>-23.657963767241998</v>
      </c>
      <c r="T220" s="2">
        <v>29.775415367224401</v>
      </c>
      <c r="U220" t="str">
        <f>_xlfn.IFS(Table13[[#This Row],[Risk_Score]]&gt;80,"High",AND(Table13[[#This Row],[Risk_Score]]&lt;=80,Table13[[#This Row],[Risk_Score]]&gt;45),"Normal",Table13[[#This Row],[Risk_Score]]&lt;=45,"Low")</f>
        <v>Low</v>
      </c>
      <c r="V220" s="7">
        <f t="shared" si="3"/>
        <v>3587.3567605278899</v>
      </c>
    </row>
    <row r="221" spans="1:22">
      <c r="A221" t="s">
        <v>863</v>
      </c>
      <c r="B221" t="s">
        <v>864</v>
      </c>
      <c r="C221" t="s">
        <v>35</v>
      </c>
      <c r="D221" s="2">
        <v>17832.586345737898</v>
      </c>
      <c r="E221" s="4">
        <v>45820</v>
      </c>
      <c r="F221" t="s">
        <v>865</v>
      </c>
      <c r="G221" t="s">
        <v>50</v>
      </c>
      <c r="H221" t="s">
        <v>38</v>
      </c>
      <c r="I221" t="s">
        <v>99</v>
      </c>
      <c r="J221" t="s">
        <v>87</v>
      </c>
      <c r="K221" t="s">
        <v>866</v>
      </c>
      <c r="L221" t="s">
        <v>53</v>
      </c>
      <c r="M221" s="2">
        <v>2221.3051262179702</v>
      </c>
      <c r="N221" s="2">
        <v>321.95397853388198</v>
      </c>
      <c r="O221" t="s">
        <v>62</v>
      </c>
      <c r="P221">
        <v>3</v>
      </c>
      <c r="Q221" t="s">
        <v>55</v>
      </c>
      <c r="R221" t="s">
        <v>45</v>
      </c>
      <c r="S221" s="2">
        <v>7.8250571028812601</v>
      </c>
      <c r="T221" s="2">
        <v>80.066394152531103</v>
      </c>
      <c r="U221" t="str">
        <f>_xlfn.IFS(Table13[[#This Row],[Risk_Score]]&gt;80,"High",AND(Table13[[#This Row],[Risk_Score]]&lt;=80,Table13[[#This Row],[Risk_Score]]&gt;45),"Normal",Table13[[#This Row],[Risk_Score]]&lt;=45,"Low")</f>
        <v>High</v>
      </c>
      <c r="V221" s="7">
        <f t="shared" si="3"/>
        <v>1899.3511476840899</v>
      </c>
    </row>
    <row r="222" spans="1:22">
      <c r="A222" t="s">
        <v>867</v>
      </c>
      <c r="B222" t="s">
        <v>428</v>
      </c>
      <c r="C222" t="s">
        <v>48</v>
      </c>
      <c r="D222" s="2">
        <v>25164.188538380298</v>
      </c>
      <c r="E222" s="4">
        <v>45821</v>
      </c>
      <c r="F222" t="s">
        <v>868</v>
      </c>
      <c r="G222" t="s">
        <v>37</v>
      </c>
      <c r="H222" t="s">
        <v>38</v>
      </c>
      <c r="I222" t="s">
        <v>51</v>
      </c>
      <c r="J222" t="s">
        <v>60</v>
      </c>
      <c r="K222" t="s">
        <v>869</v>
      </c>
      <c r="L222" t="s">
        <v>155</v>
      </c>
      <c r="M222" s="2">
        <v>4190.2835687789202</v>
      </c>
      <c r="N222" s="2">
        <v>217.507297170112</v>
      </c>
      <c r="O222" t="s">
        <v>43</v>
      </c>
      <c r="P222">
        <v>1</v>
      </c>
      <c r="Q222" t="s">
        <v>31</v>
      </c>
      <c r="R222" t="s">
        <v>32</v>
      </c>
      <c r="S222" s="2">
        <v>4.56955978955797</v>
      </c>
      <c r="T222" s="2">
        <v>40.521512329927901</v>
      </c>
      <c r="U222" t="str">
        <f>_xlfn.IFS(Table13[[#This Row],[Risk_Score]]&gt;80,"High",AND(Table13[[#This Row],[Risk_Score]]&lt;=80,Table13[[#This Row],[Risk_Score]]&gt;45),"Normal",Table13[[#This Row],[Risk_Score]]&lt;=45,"Low")</f>
        <v>Low</v>
      </c>
      <c r="V222" s="7">
        <f t="shared" si="3"/>
        <v>3972.77627160881</v>
      </c>
    </row>
    <row r="223" spans="1:22">
      <c r="A223" t="s">
        <v>870</v>
      </c>
      <c r="B223" t="s">
        <v>505</v>
      </c>
      <c r="C223" t="s">
        <v>35</v>
      </c>
      <c r="D223" s="2">
        <v>26799.978974789599</v>
      </c>
      <c r="E223" s="4">
        <v>45823</v>
      </c>
      <c r="F223" t="s">
        <v>871</v>
      </c>
      <c r="G223" t="s">
        <v>172</v>
      </c>
      <c r="H223" t="s">
        <v>1762</v>
      </c>
      <c r="I223" t="s">
        <v>99</v>
      </c>
      <c r="J223" t="s">
        <v>60</v>
      </c>
      <c r="K223" t="s">
        <v>872</v>
      </c>
      <c r="L223" t="s">
        <v>155</v>
      </c>
      <c r="M223" s="2">
        <v>2091.2141120096699</v>
      </c>
      <c r="N223" s="2">
        <v>0</v>
      </c>
      <c r="O223" t="s">
        <v>62</v>
      </c>
      <c r="P223">
        <v>1</v>
      </c>
      <c r="Q223" t="s">
        <v>31</v>
      </c>
      <c r="R223" t="s">
        <v>133</v>
      </c>
      <c r="S223" s="2">
        <v>-1.8575972000422301</v>
      </c>
      <c r="T223" s="2">
        <v>75.899576249072794</v>
      </c>
      <c r="U223" t="str">
        <f>_xlfn.IFS(Table13[[#This Row],[Risk_Score]]&gt;80,"High",AND(Table13[[#This Row],[Risk_Score]]&lt;=80,Table13[[#This Row],[Risk_Score]]&gt;45),"Normal",Table13[[#This Row],[Risk_Score]]&lt;=45,"Low")</f>
        <v>Normal</v>
      </c>
      <c r="V223" s="7">
        <f t="shared" si="3"/>
        <v>2091.2141120096699</v>
      </c>
    </row>
    <row r="224" spans="1:22">
      <c r="A224" t="s">
        <v>873</v>
      </c>
      <c r="B224" t="s">
        <v>113</v>
      </c>
      <c r="C224" t="s">
        <v>48</v>
      </c>
      <c r="D224" s="2">
        <v>26429.621734224798</v>
      </c>
      <c r="E224" s="4">
        <v>45823</v>
      </c>
      <c r="F224" t="s">
        <v>874</v>
      </c>
      <c r="G224" t="s">
        <v>37</v>
      </c>
      <c r="H224" t="s">
        <v>38</v>
      </c>
      <c r="I224" t="s">
        <v>51</v>
      </c>
      <c r="J224" t="s">
        <v>87</v>
      </c>
      <c r="K224" t="s">
        <v>875</v>
      </c>
      <c r="L224" t="s">
        <v>81</v>
      </c>
      <c r="M224" s="2">
        <v>4071.0145922229499</v>
      </c>
      <c r="N224" s="2">
        <v>0</v>
      </c>
      <c r="O224" t="s">
        <v>43</v>
      </c>
      <c r="P224">
        <v>0</v>
      </c>
      <c r="Q224" t="s">
        <v>95</v>
      </c>
      <c r="R224" t="s">
        <v>45</v>
      </c>
      <c r="S224" s="2">
        <v>-18.420959523658301</v>
      </c>
      <c r="T224" s="2">
        <v>47.282562489630202</v>
      </c>
      <c r="U224" t="str">
        <f>_xlfn.IFS(Table13[[#This Row],[Risk_Score]]&gt;80,"High",AND(Table13[[#This Row],[Risk_Score]]&lt;=80,Table13[[#This Row],[Risk_Score]]&gt;45),"Normal",Table13[[#This Row],[Risk_Score]]&lt;=45,"Low")</f>
        <v>Normal</v>
      </c>
      <c r="V224" s="7">
        <f t="shared" si="3"/>
        <v>4071.0145922229499</v>
      </c>
    </row>
    <row r="225" spans="1:22">
      <c r="A225" t="s">
        <v>876</v>
      </c>
      <c r="B225" t="s">
        <v>678</v>
      </c>
      <c r="C225" t="s">
        <v>35</v>
      </c>
      <c r="D225" s="2">
        <v>7139.9842540079098</v>
      </c>
      <c r="E225" s="4">
        <v>45823</v>
      </c>
      <c r="F225" t="s">
        <v>877</v>
      </c>
      <c r="G225" t="s">
        <v>92</v>
      </c>
      <c r="H225" t="s">
        <v>1762</v>
      </c>
      <c r="I225" t="s">
        <v>26</v>
      </c>
      <c r="J225" t="s">
        <v>60</v>
      </c>
      <c r="K225" t="s">
        <v>878</v>
      </c>
      <c r="L225" t="s">
        <v>42</v>
      </c>
      <c r="M225" s="2">
        <v>4590.2419295330701</v>
      </c>
      <c r="N225" s="2">
        <v>0</v>
      </c>
      <c r="O225" t="s">
        <v>62</v>
      </c>
      <c r="P225">
        <v>0</v>
      </c>
      <c r="Q225" t="s">
        <v>55</v>
      </c>
      <c r="R225" t="s">
        <v>45</v>
      </c>
      <c r="S225" s="2">
        <v>23.556679682648799</v>
      </c>
      <c r="T225" s="2">
        <v>17.139831232475199</v>
      </c>
      <c r="U225" t="str">
        <f>_xlfn.IFS(Table13[[#This Row],[Risk_Score]]&gt;80,"High",AND(Table13[[#This Row],[Risk_Score]]&lt;=80,Table13[[#This Row],[Risk_Score]]&gt;45),"Normal",Table13[[#This Row],[Risk_Score]]&lt;=45,"Low")</f>
        <v>Low</v>
      </c>
      <c r="V225" s="7">
        <f t="shared" si="3"/>
        <v>4590.2419295330701</v>
      </c>
    </row>
    <row r="226" spans="1:22">
      <c r="A226" t="s">
        <v>879</v>
      </c>
      <c r="B226" t="s">
        <v>170</v>
      </c>
      <c r="C226" t="s">
        <v>22</v>
      </c>
      <c r="D226" s="2">
        <v>38412.197121997597</v>
      </c>
      <c r="E226" s="4">
        <v>45825</v>
      </c>
      <c r="F226" t="s">
        <v>880</v>
      </c>
      <c r="G226" t="s">
        <v>141</v>
      </c>
      <c r="H226" t="s">
        <v>25</v>
      </c>
      <c r="I226" t="s">
        <v>99</v>
      </c>
      <c r="J226" t="s">
        <v>60</v>
      </c>
      <c r="K226" t="s">
        <v>881</v>
      </c>
      <c r="L226" t="s">
        <v>53</v>
      </c>
      <c r="M226" s="2">
        <v>1248.76451921998</v>
      </c>
      <c r="N226" s="2">
        <v>259.373923557355</v>
      </c>
      <c r="O226" t="s">
        <v>62</v>
      </c>
      <c r="P226">
        <v>1</v>
      </c>
      <c r="Q226" t="s">
        <v>95</v>
      </c>
      <c r="R226" t="s">
        <v>45</v>
      </c>
      <c r="S226" s="2">
        <v>19.992581277468101</v>
      </c>
      <c r="T226" s="2">
        <v>81.535462385556102</v>
      </c>
      <c r="U226" t="str">
        <f>_xlfn.IFS(Table13[[#This Row],[Risk_Score]]&gt;80,"High",AND(Table13[[#This Row],[Risk_Score]]&lt;=80,Table13[[#This Row],[Risk_Score]]&gt;45),"Normal",Table13[[#This Row],[Risk_Score]]&lt;=45,"Low")</f>
        <v>High</v>
      </c>
      <c r="V226" s="7">
        <f t="shared" si="3"/>
        <v>989.39059566262495</v>
      </c>
    </row>
    <row r="227" spans="1:22">
      <c r="A227" t="s">
        <v>882</v>
      </c>
      <c r="B227" t="s">
        <v>883</v>
      </c>
      <c r="C227" t="s">
        <v>22</v>
      </c>
      <c r="D227" s="2">
        <v>18524.601027343801</v>
      </c>
      <c r="E227" s="4">
        <v>45826</v>
      </c>
      <c r="F227" t="s">
        <v>884</v>
      </c>
      <c r="G227" t="s">
        <v>37</v>
      </c>
      <c r="H227" t="s">
        <v>38</v>
      </c>
      <c r="I227" t="s">
        <v>51</v>
      </c>
      <c r="J227" t="s">
        <v>87</v>
      </c>
      <c r="K227" t="s">
        <v>885</v>
      </c>
      <c r="L227" t="s">
        <v>120</v>
      </c>
      <c r="M227" s="2">
        <v>4593.3123713130899</v>
      </c>
      <c r="N227" s="2">
        <v>25.5827532227379</v>
      </c>
      <c r="O227" t="s">
        <v>43</v>
      </c>
      <c r="P227">
        <v>3</v>
      </c>
      <c r="Q227" t="s">
        <v>63</v>
      </c>
      <c r="R227" t="s">
        <v>32</v>
      </c>
      <c r="S227" s="2">
        <v>28.9811998845815</v>
      </c>
      <c r="T227" s="2">
        <v>60.266996094450498</v>
      </c>
      <c r="U227" t="str">
        <f>_xlfn.IFS(Table13[[#This Row],[Risk_Score]]&gt;80,"High",AND(Table13[[#This Row],[Risk_Score]]&lt;=80,Table13[[#This Row],[Risk_Score]]&gt;45),"Normal",Table13[[#This Row],[Risk_Score]]&lt;=45,"Low")</f>
        <v>Normal</v>
      </c>
      <c r="V227" s="7">
        <f t="shared" si="3"/>
        <v>4567.7296180903504</v>
      </c>
    </row>
    <row r="228" spans="1:22">
      <c r="A228" t="s">
        <v>886</v>
      </c>
      <c r="B228" t="s">
        <v>312</v>
      </c>
      <c r="C228" t="s">
        <v>85</v>
      </c>
      <c r="D228" s="2">
        <v>24054.293754221901</v>
      </c>
      <c r="E228" s="4">
        <v>45827</v>
      </c>
      <c r="F228" t="s">
        <v>887</v>
      </c>
      <c r="G228" t="s">
        <v>37</v>
      </c>
      <c r="H228" t="s">
        <v>25</v>
      </c>
      <c r="I228" t="s">
        <v>51</v>
      </c>
      <c r="J228" t="s">
        <v>87</v>
      </c>
      <c r="K228" t="s">
        <v>888</v>
      </c>
      <c r="L228" t="s">
        <v>155</v>
      </c>
      <c r="M228" s="2">
        <v>0</v>
      </c>
      <c r="N228" s="2">
        <v>120.829460409593</v>
      </c>
      <c r="O228" t="s">
        <v>43</v>
      </c>
      <c r="P228">
        <v>4</v>
      </c>
      <c r="Q228" t="s">
        <v>95</v>
      </c>
      <c r="R228" t="s">
        <v>45</v>
      </c>
      <c r="S228" s="2">
        <v>11.3040774425614</v>
      </c>
      <c r="T228" s="2">
        <v>84.0603622773192</v>
      </c>
      <c r="U228" t="str">
        <f>_xlfn.IFS(Table13[[#This Row],[Risk_Score]]&gt;80,"High",AND(Table13[[#This Row],[Risk_Score]]&lt;=80,Table13[[#This Row],[Risk_Score]]&gt;45),"Normal",Table13[[#This Row],[Risk_Score]]&lt;=45,"Low")</f>
        <v>High</v>
      </c>
      <c r="V228" s="7">
        <f t="shared" si="3"/>
        <v>0</v>
      </c>
    </row>
    <row r="229" spans="1:22">
      <c r="A229" t="s">
        <v>889</v>
      </c>
      <c r="B229" t="s">
        <v>890</v>
      </c>
      <c r="C229" t="s">
        <v>48</v>
      </c>
      <c r="D229" s="2">
        <v>30417.005592449299</v>
      </c>
      <c r="E229" s="4">
        <v>45827</v>
      </c>
      <c r="F229" t="s">
        <v>891</v>
      </c>
      <c r="G229" t="s">
        <v>163</v>
      </c>
      <c r="H229" t="s">
        <v>38</v>
      </c>
      <c r="I229" t="s">
        <v>51</v>
      </c>
      <c r="J229" t="s">
        <v>60</v>
      </c>
      <c r="K229" t="s">
        <v>690</v>
      </c>
      <c r="L229" t="s">
        <v>53</v>
      </c>
      <c r="M229" s="2">
        <v>2013.9375294548699</v>
      </c>
      <c r="N229" s="2">
        <v>0</v>
      </c>
      <c r="O229" t="s">
        <v>62</v>
      </c>
      <c r="P229">
        <v>3</v>
      </c>
      <c r="Q229" t="s">
        <v>95</v>
      </c>
      <c r="R229" t="s">
        <v>133</v>
      </c>
      <c r="S229" s="2">
        <v>16.898126726592601</v>
      </c>
      <c r="T229" s="2">
        <v>5.53497892180952</v>
      </c>
      <c r="U229" t="str">
        <f>_xlfn.IFS(Table13[[#This Row],[Risk_Score]]&gt;80,"High",AND(Table13[[#This Row],[Risk_Score]]&lt;=80,Table13[[#This Row],[Risk_Score]]&gt;45),"Normal",Table13[[#This Row],[Risk_Score]]&lt;=45,"Low")</f>
        <v>Low</v>
      </c>
      <c r="V229" s="7">
        <f t="shared" si="3"/>
        <v>2013.9375294548699</v>
      </c>
    </row>
    <row r="230" spans="1:22">
      <c r="A230" t="s">
        <v>892</v>
      </c>
      <c r="B230" t="s">
        <v>273</v>
      </c>
      <c r="C230" t="s">
        <v>22</v>
      </c>
      <c r="D230" s="2">
        <v>4484.6187510085701</v>
      </c>
      <c r="E230" s="4">
        <v>45827</v>
      </c>
      <c r="F230" t="s">
        <v>893</v>
      </c>
      <c r="G230" t="s">
        <v>59</v>
      </c>
      <c r="H230" t="s">
        <v>38</v>
      </c>
      <c r="I230" t="s">
        <v>51</v>
      </c>
      <c r="J230" t="s">
        <v>87</v>
      </c>
      <c r="K230" t="s">
        <v>894</v>
      </c>
      <c r="L230" t="s">
        <v>155</v>
      </c>
      <c r="M230" s="2">
        <v>451.76291109538698</v>
      </c>
      <c r="N230" s="2">
        <v>246.00086471604101</v>
      </c>
      <c r="O230" t="s">
        <v>62</v>
      </c>
      <c r="P230">
        <v>4</v>
      </c>
      <c r="Q230" t="s">
        <v>31</v>
      </c>
      <c r="R230" t="s">
        <v>32</v>
      </c>
      <c r="S230" s="2">
        <v>-10.3936141106973</v>
      </c>
      <c r="T230" s="2">
        <v>86.669134839939503</v>
      </c>
      <c r="U230" t="str">
        <f>_xlfn.IFS(Table13[[#This Row],[Risk_Score]]&gt;80,"High",AND(Table13[[#This Row],[Risk_Score]]&lt;=80,Table13[[#This Row],[Risk_Score]]&gt;45),"Normal",Table13[[#This Row],[Risk_Score]]&lt;=45,"Low")</f>
        <v>High</v>
      </c>
      <c r="V230" s="7">
        <f t="shared" si="3"/>
        <v>205.762046379346</v>
      </c>
    </row>
    <row r="231" spans="1:22">
      <c r="A231" t="s">
        <v>895</v>
      </c>
      <c r="B231" t="s">
        <v>896</v>
      </c>
      <c r="C231" t="s">
        <v>22</v>
      </c>
      <c r="D231" s="2">
        <v>37874.256695394201</v>
      </c>
      <c r="E231" s="4">
        <v>45828</v>
      </c>
      <c r="F231" t="s">
        <v>897</v>
      </c>
      <c r="G231" t="s">
        <v>181</v>
      </c>
      <c r="H231" t="s">
        <v>38</v>
      </c>
      <c r="I231" t="s">
        <v>51</v>
      </c>
      <c r="J231" t="s">
        <v>87</v>
      </c>
      <c r="K231" t="s">
        <v>898</v>
      </c>
      <c r="L231" t="s">
        <v>81</v>
      </c>
      <c r="M231" s="2">
        <v>801.83655306631999</v>
      </c>
      <c r="N231" s="2">
        <v>0</v>
      </c>
      <c r="O231" t="s">
        <v>62</v>
      </c>
      <c r="P231">
        <v>4</v>
      </c>
      <c r="Q231" t="s">
        <v>44</v>
      </c>
      <c r="R231" t="s">
        <v>133</v>
      </c>
      <c r="S231" s="2">
        <v>28.064397279545201</v>
      </c>
      <c r="T231" s="2">
        <v>30.457536628856801</v>
      </c>
      <c r="U231" t="str">
        <f>_xlfn.IFS(Table13[[#This Row],[Risk_Score]]&gt;80,"High",AND(Table13[[#This Row],[Risk_Score]]&lt;=80,Table13[[#This Row],[Risk_Score]]&gt;45),"Normal",Table13[[#This Row],[Risk_Score]]&lt;=45,"Low")</f>
        <v>Low</v>
      </c>
      <c r="V231" s="7">
        <f t="shared" si="3"/>
        <v>801.83655306631999</v>
      </c>
    </row>
    <row r="232" spans="1:22">
      <c r="A232" t="s">
        <v>899</v>
      </c>
      <c r="B232" t="s">
        <v>257</v>
      </c>
      <c r="C232" t="s">
        <v>85</v>
      </c>
      <c r="D232" s="2">
        <v>36038.108823451599</v>
      </c>
      <c r="E232" s="4">
        <v>45830</v>
      </c>
      <c r="F232" t="s">
        <v>208</v>
      </c>
      <c r="G232" t="s">
        <v>181</v>
      </c>
      <c r="H232" t="s">
        <v>1762</v>
      </c>
      <c r="I232" t="s">
        <v>75</v>
      </c>
      <c r="J232" t="s">
        <v>87</v>
      </c>
      <c r="K232" t="s">
        <v>900</v>
      </c>
      <c r="L232" t="s">
        <v>42</v>
      </c>
      <c r="M232" s="2">
        <v>3703.9329391573801</v>
      </c>
      <c r="N232" s="2">
        <v>0</v>
      </c>
      <c r="O232" t="s">
        <v>54</v>
      </c>
      <c r="P232">
        <v>2</v>
      </c>
      <c r="Q232" t="s">
        <v>63</v>
      </c>
      <c r="R232" t="s">
        <v>133</v>
      </c>
      <c r="S232" s="2">
        <v>-5.7084066229113404</v>
      </c>
      <c r="T232" s="2">
        <v>73.543659389218604</v>
      </c>
      <c r="U232" t="str">
        <f>_xlfn.IFS(Table13[[#This Row],[Risk_Score]]&gt;80,"High",AND(Table13[[#This Row],[Risk_Score]]&lt;=80,Table13[[#This Row],[Risk_Score]]&gt;45),"Normal",Table13[[#This Row],[Risk_Score]]&lt;=45,"Low")</f>
        <v>Normal</v>
      </c>
      <c r="V232" s="7">
        <f t="shared" si="3"/>
        <v>3703.9329391573801</v>
      </c>
    </row>
    <row r="233" spans="1:22">
      <c r="A233" t="s">
        <v>901</v>
      </c>
      <c r="B233" t="s">
        <v>308</v>
      </c>
      <c r="C233" t="s">
        <v>35</v>
      </c>
      <c r="D233" s="2">
        <v>4437.5582460224296</v>
      </c>
      <c r="E233" s="4">
        <v>45831</v>
      </c>
      <c r="F233" t="s">
        <v>902</v>
      </c>
      <c r="G233" t="s">
        <v>172</v>
      </c>
      <c r="H233" t="s">
        <v>38</v>
      </c>
      <c r="I233" t="s">
        <v>99</v>
      </c>
      <c r="J233" t="s">
        <v>87</v>
      </c>
      <c r="K233" t="s">
        <v>903</v>
      </c>
      <c r="L233" t="s">
        <v>42</v>
      </c>
      <c r="M233" s="2">
        <v>2182.7484631422399</v>
      </c>
      <c r="N233" s="2">
        <v>64.174963307347397</v>
      </c>
      <c r="O233" t="s">
        <v>54</v>
      </c>
      <c r="P233">
        <v>4</v>
      </c>
      <c r="Q233" t="s">
        <v>55</v>
      </c>
      <c r="R233" t="s">
        <v>133</v>
      </c>
      <c r="S233" s="2">
        <v>-0.165549127161391</v>
      </c>
      <c r="T233" s="2">
        <v>78.472341517935803</v>
      </c>
      <c r="U233" t="str">
        <f>_xlfn.IFS(Table13[[#This Row],[Risk_Score]]&gt;80,"High",AND(Table13[[#This Row],[Risk_Score]]&lt;=80,Table13[[#This Row],[Risk_Score]]&gt;45),"Normal",Table13[[#This Row],[Risk_Score]]&lt;=45,"Low")</f>
        <v>Normal</v>
      </c>
      <c r="V233" s="7">
        <f t="shared" si="3"/>
        <v>2118.5734998348898</v>
      </c>
    </row>
    <row r="234" spans="1:22">
      <c r="A234" t="s">
        <v>904</v>
      </c>
      <c r="B234" t="s">
        <v>905</v>
      </c>
      <c r="C234" t="s">
        <v>22</v>
      </c>
      <c r="D234" s="2">
        <v>29394.704384414701</v>
      </c>
      <c r="E234" s="4">
        <v>45831</v>
      </c>
      <c r="F234" t="s">
        <v>906</v>
      </c>
      <c r="G234" t="s">
        <v>172</v>
      </c>
      <c r="H234" t="s">
        <v>25</v>
      </c>
      <c r="I234" t="s">
        <v>99</v>
      </c>
      <c r="J234" t="s">
        <v>87</v>
      </c>
      <c r="K234" t="s">
        <v>907</v>
      </c>
      <c r="L234" t="s">
        <v>120</v>
      </c>
      <c r="M234" s="2">
        <v>1247.0990673060001</v>
      </c>
      <c r="N234" s="2">
        <v>24.6544935549123</v>
      </c>
      <c r="O234" t="s">
        <v>43</v>
      </c>
      <c r="P234">
        <v>4</v>
      </c>
      <c r="Q234" t="s">
        <v>1763</v>
      </c>
      <c r="R234" t="s">
        <v>133</v>
      </c>
      <c r="S234" s="2">
        <v>-13.026845412818099</v>
      </c>
      <c r="T234" s="2">
        <v>73.187325306272001</v>
      </c>
      <c r="U234" t="str">
        <f>_xlfn.IFS(Table13[[#This Row],[Risk_Score]]&gt;80,"High",AND(Table13[[#This Row],[Risk_Score]]&lt;=80,Table13[[#This Row],[Risk_Score]]&gt;45),"Normal",Table13[[#This Row],[Risk_Score]]&lt;=45,"Low")</f>
        <v>Normal</v>
      </c>
      <c r="V234" s="7">
        <f t="shared" si="3"/>
        <v>1222.44457375109</v>
      </c>
    </row>
    <row r="235" spans="1:22">
      <c r="A235" t="s">
        <v>908</v>
      </c>
      <c r="B235" t="s">
        <v>597</v>
      </c>
      <c r="C235" t="s">
        <v>35</v>
      </c>
      <c r="D235" s="2">
        <v>19003.196121290101</v>
      </c>
      <c r="E235" s="4">
        <v>45832</v>
      </c>
      <c r="F235" t="s">
        <v>909</v>
      </c>
      <c r="G235" t="s">
        <v>163</v>
      </c>
      <c r="H235" t="s">
        <v>1762</v>
      </c>
      <c r="I235" t="s">
        <v>75</v>
      </c>
      <c r="J235" t="s">
        <v>87</v>
      </c>
      <c r="K235" t="s">
        <v>910</v>
      </c>
      <c r="L235" t="s">
        <v>155</v>
      </c>
      <c r="M235" s="2">
        <v>2440.1138083300202</v>
      </c>
      <c r="N235" s="2">
        <v>0</v>
      </c>
      <c r="O235" t="s">
        <v>54</v>
      </c>
      <c r="P235">
        <v>1</v>
      </c>
      <c r="Q235" t="s">
        <v>44</v>
      </c>
      <c r="R235" t="s">
        <v>133</v>
      </c>
      <c r="S235" s="2">
        <v>9.6954639575559192</v>
      </c>
      <c r="T235" s="2">
        <v>18.421989929635899</v>
      </c>
      <c r="U235" t="str">
        <f>_xlfn.IFS(Table13[[#This Row],[Risk_Score]]&gt;80,"High",AND(Table13[[#This Row],[Risk_Score]]&lt;=80,Table13[[#This Row],[Risk_Score]]&gt;45),"Normal",Table13[[#This Row],[Risk_Score]]&lt;=45,"Low")</f>
        <v>Low</v>
      </c>
      <c r="V235" s="7">
        <f t="shared" si="3"/>
        <v>2440.1138083300202</v>
      </c>
    </row>
    <row r="236" spans="1:22">
      <c r="A236" t="s">
        <v>911</v>
      </c>
      <c r="B236" t="s">
        <v>383</v>
      </c>
      <c r="C236" t="s">
        <v>22</v>
      </c>
      <c r="D236" s="2">
        <v>36332.169744513798</v>
      </c>
      <c r="E236" s="4">
        <v>45832</v>
      </c>
      <c r="F236" t="s">
        <v>912</v>
      </c>
      <c r="G236" t="s">
        <v>163</v>
      </c>
      <c r="H236" t="s">
        <v>38</v>
      </c>
      <c r="I236" t="s">
        <v>99</v>
      </c>
      <c r="J236" t="s">
        <v>87</v>
      </c>
      <c r="K236" t="s">
        <v>913</v>
      </c>
      <c r="L236" t="s">
        <v>155</v>
      </c>
      <c r="M236" s="2">
        <v>3975.9862629171298</v>
      </c>
      <c r="N236" s="2">
        <v>0</v>
      </c>
      <c r="O236" t="s">
        <v>43</v>
      </c>
      <c r="P236">
        <v>3</v>
      </c>
      <c r="Q236" t="s">
        <v>31</v>
      </c>
      <c r="R236" t="s">
        <v>133</v>
      </c>
      <c r="S236" s="2">
        <v>8.7455575356783495</v>
      </c>
      <c r="T236" s="2">
        <v>64.575917793803299</v>
      </c>
      <c r="U236" t="str">
        <f>_xlfn.IFS(Table13[[#This Row],[Risk_Score]]&gt;80,"High",AND(Table13[[#This Row],[Risk_Score]]&lt;=80,Table13[[#This Row],[Risk_Score]]&gt;45),"Normal",Table13[[#This Row],[Risk_Score]]&lt;=45,"Low")</f>
        <v>Normal</v>
      </c>
      <c r="V236" s="7">
        <f t="shared" si="3"/>
        <v>3975.9862629171298</v>
      </c>
    </row>
    <row r="237" spans="1:22">
      <c r="A237" t="s">
        <v>914</v>
      </c>
      <c r="B237" t="s">
        <v>915</v>
      </c>
      <c r="C237" t="s">
        <v>48</v>
      </c>
      <c r="D237" s="2">
        <v>6779.2207281516003</v>
      </c>
      <c r="E237" s="4">
        <v>45833</v>
      </c>
      <c r="F237" t="s">
        <v>916</v>
      </c>
      <c r="G237" t="s">
        <v>172</v>
      </c>
      <c r="H237" t="s">
        <v>38</v>
      </c>
      <c r="I237" t="s">
        <v>26</v>
      </c>
      <c r="J237" t="s">
        <v>87</v>
      </c>
      <c r="K237" t="s">
        <v>917</v>
      </c>
      <c r="L237" t="s">
        <v>53</v>
      </c>
      <c r="M237" s="2">
        <v>4520.9569553562997</v>
      </c>
      <c r="N237" s="2">
        <v>0</v>
      </c>
      <c r="O237" t="s">
        <v>43</v>
      </c>
      <c r="P237">
        <v>4</v>
      </c>
      <c r="Q237" t="s">
        <v>31</v>
      </c>
      <c r="R237" t="s">
        <v>32</v>
      </c>
      <c r="S237" s="2">
        <v>-2.3961529951462901</v>
      </c>
      <c r="T237" s="2">
        <v>67.599248975633998</v>
      </c>
      <c r="U237" t="str">
        <f>_xlfn.IFS(Table13[[#This Row],[Risk_Score]]&gt;80,"High",AND(Table13[[#This Row],[Risk_Score]]&lt;=80,Table13[[#This Row],[Risk_Score]]&gt;45),"Normal",Table13[[#This Row],[Risk_Score]]&lt;=45,"Low")</f>
        <v>Normal</v>
      </c>
      <c r="V237" s="7">
        <f t="shared" si="3"/>
        <v>4520.9569553562997</v>
      </c>
    </row>
    <row r="238" spans="1:22">
      <c r="A238" t="s">
        <v>918</v>
      </c>
      <c r="B238" t="s">
        <v>113</v>
      </c>
      <c r="C238" t="s">
        <v>48</v>
      </c>
      <c r="D238" s="2">
        <v>2676.6103459381902</v>
      </c>
      <c r="E238" s="4">
        <v>45833</v>
      </c>
      <c r="F238" t="s">
        <v>919</v>
      </c>
      <c r="G238" t="s">
        <v>163</v>
      </c>
      <c r="H238" t="s">
        <v>1762</v>
      </c>
      <c r="I238" t="s">
        <v>51</v>
      </c>
      <c r="J238" t="s">
        <v>87</v>
      </c>
      <c r="K238" t="s">
        <v>875</v>
      </c>
      <c r="L238" t="s">
        <v>81</v>
      </c>
      <c r="M238" s="2">
        <v>4657.5791712010696</v>
      </c>
      <c r="N238" s="2">
        <v>0</v>
      </c>
      <c r="O238" t="s">
        <v>43</v>
      </c>
      <c r="P238">
        <v>4</v>
      </c>
      <c r="Q238" t="s">
        <v>63</v>
      </c>
      <c r="R238" t="s">
        <v>133</v>
      </c>
      <c r="S238" s="2">
        <v>-9.4095685675629905</v>
      </c>
      <c r="T238" s="2">
        <v>46.268783168782697</v>
      </c>
      <c r="U238" t="str">
        <f>_xlfn.IFS(Table13[[#This Row],[Risk_Score]]&gt;80,"High",AND(Table13[[#This Row],[Risk_Score]]&lt;=80,Table13[[#This Row],[Risk_Score]]&gt;45),"Normal",Table13[[#This Row],[Risk_Score]]&lt;=45,"Low")</f>
        <v>Normal</v>
      </c>
      <c r="V238" s="7">
        <f t="shared" si="3"/>
        <v>4657.5791712010696</v>
      </c>
    </row>
    <row r="239" spans="1:22">
      <c r="A239" t="s">
        <v>920</v>
      </c>
      <c r="B239" t="s">
        <v>792</v>
      </c>
      <c r="C239" t="s">
        <v>22</v>
      </c>
      <c r="D239" s="2">
        <v>4485.5924645531804</v>
      </c>
      <c r="E239" s="4">
        <v>45833</v>
      </c>
      <c r="F239" t="s">
        <v>921</v>
      </c>
      <c r="G239" t="s">
        <v>163</v>
      </c>
      <c r="H239" t="s">
        <v>1762</v>
      </c>
      <c r="I239" t="s">
        <v>26</v>
      </c>
      <c r="J239" t="s">
        <v>87</v>
      </c>
      <c r="K239" t="s">
        <v>922</v>
      </c>
      <c r="L239" t="s">
        <v>120</v>
      </c>
      <c r="M239" s="2">
        <v>3384.0555617503901</v>
      </c>
      <c r="N239" s="2">
        <v>375.89908179346702</v>
      </c>
      <c r="O239" t="s">
        <v>62</v>
      </c>
      <c r="P239">
        <v>2</v>
      </c>
      <c r="Q239" t="s">
        <v>63</v>
      </c>
      <c r="R239" t="s">
        <v>45</v>
      </c>
      <c r="S239" s="2">
        <v>-14.689066273546199</v>
      </c>
      <c r="T239" s="2">
        <v>92.833577200562203</v>
      </c>
      <c r="U239" t="str">
        <f>_xlfn.IFS(Table13[[#This Row],[Risk_Score]]&gt;80,"High",AND(Table13[[#This Row],[Risk_Score]]&lt;=80,Table13[[#This Row],[Risk_Score]]&gt;45),"Normal",Table13[[#This Row],[Risk_Score]]&lt;=45,"Low")</f>
        <v>High</v>
      </c>
      <c r="V239" s="7">
        <f t="shared" si="3"/>
        <v>3008.1564799569201</v>
      </c>
    </row>
    <row r="240" spans="1:22">
      <c r="A240" t="s">
        <v>923</v>
      </c>
      <c r="B240" t="s">
        <v>809</v>
      </c>
      <c r="C240" t="s">
        <v>35</v>
      </c>
      <c r="D240" s="2">
        <v>7472.1806861207097</v>
      </c>
      <c r="E240" s="4">
        <v>45834</v>
      </c>
      <c r="F240" t="s">
        <v>924</v>
      </c>
      <c r="G240" t="s">
        <v>92</v>
      </c>
      <c r="H240" t="s">
        <v>25</v>
      </c>
      <c r="I240" t="s">
        <v>51</v>
      </c>
      <c r="J240" t="s">
        <v>60</v>
      </c>
      <c r="K240" t="s">
        <v>925</v>
      </c>
      <c r="L240" t="s">
        <v>29</v>
      </c>
      <c r="M240" s="2">
        <v>4614.8500438538604</v>
      </c>
      <c r="N240" s="2">
        <v>0</v>
      </c>
      <c r="O240" t="s">
        <v>62</v>
      </c>
      <c r="P240">
        <v>2</v>
      </c>
      <c r="Q240" t="s">
        <v>44</v>
      </c>
      <c r="R240" t="s">
        <v>45</v>
      </c>
      <c r="S240" s="2">
        <v>-1.32002729674132</v>
      </c>
      <c r="T240" s="2">
        <v>49.924290752477503</v>
      </c>
      <c r="U240" t="str">
        <f>_xlfn.IFS(Table13[[#This Row],[Risk_Score]]&gt;80,"High",AND(Table13[[#This Row],[Risk_Score]]&lt;=80,Table13[[#This Row],[Risk_Score]]&gt;45),"Normal",Table13[[#This Row],[Risk_Score]]&lt;=45,"Low")</f>
        <v>Normal</v>
      </c>
      <c r="V240" s="7">
        <f t="shared" si="3"/>
        <v>4614.8500438538604</v>
      </c>
    </row>
    <row r="241" spans="1:22">
      <c r="A241" t="s">
        <v>926</v>
      </c>
      <c r="B241" t="s">
        <v>261</v>
      </c>
      <c r="C241" t="s">
        <v>35</v>
      </c>
      <c r="D241" s="2">
        <v>3405.1752948081098</v>
      </c>
      <c r="E241" s="4">
        <v>45834</v>
      </c>
      <c r="F241" t="s">
        <v>927</v>
      </c>
      <c r="G241" t="s">
        <v>24</v>
      </c>
      <c r="H241" t="s">
        <v>25</v>
      </c>
      <c r="I241" t="s">
        <v>99</v>
      </c>
      <c r="J241" t="s">
        <v>87</v>
      </c>
      <c r="K241" t="s">
        <v>928</v>
      </c>
      <c r="L241" t="s">
        <v>120</v>
      </c>
      <c r="M241" s="2">
        <v>3936.1641033368001</v>
      </c>
      <c r="N241" s="2">
        <v>0</v>
      </c>
      <c r="O241" t="s">
        <v>62</v>
      </c>
      <c r="P241">
        <v>1</v>
      </c>
      <c r="Q241" t="s">
        <v>1763</v>
      </c>
      <c r="R241" t="s">
        <v>32</v>
      </c>
      <c r="S241" s="2">
        <v>25.065518558109599</v>
      </c>
      <c r="T241" s="2">
        <v>92.204880212710705</v>
      </c>
      <c r="U241" t="str">
        <f>_xlfn.IFS(Table13[[#This Row],[Risk_Score]]&gt;80,"High",AND(Table13[[#This Row],[Risk_Score]]&lt;=80,Table13[[#This Row],[Risk_Score]]&gt;45),"Normal",Table13[[#This Row],[Risk_Score]]&lt;=45,"Low")</f>
        <v>High</v>
      </c>
      <c r="V241" s="7">
        <f t="shared" si="3"/>
        <v>3936.1641033368001</v>
      </c>
    </row>
    <row r="242" spans="1:22">
      <c r="A242" t="s">
        <v>929</v>
      </c>
      <c r="B242" t="s">
        <v>593</v>
      </c>
      <c r="C242" t="s">
        <v>22</v>
      </c>
      <c r="D242" s="2">
        <v>7818.13983007349</v>
      </c>
      <c r="E242" s="4">
        <v>45834</v>
      </c>
      <c r="F242" t="s">
        <v>930</v>
      </c>
      <c r="G242" t="s">
        <v>59</v>
      </c>
      <c r="H242" t="s">
        <v>25</v>
      </c>
      <c r="I242" t="s">
        <v>26</v>
      </c>
      <c r="J242" t="s">
        <v>87</v>
      </c>
      <c r="K242" t="s">
        <v>931</v>
      </c>
      <c r="L242" t="s">
        <v>155</v>
      </c>
      <c r="M242" s="2">
        <v>3706.7803725988601</v>
      </c>
      <c r="N242" s="2">
        <v>0</v>
      </c>
      <c r="O242" t="s">
        <v>54</v>
      </c>
      <c r="P242">
        <v>2</v>
      </c>
      <c r="Q242" t="s">
        <v>63</v>
      </c>
      <c r="R242" t="s">
        <v>32</v>
      </c>
      <c r="S242" s="2">
        <v>-27.8022181440708</v>
      </c>
      <c r="T242" s="2">
        <v>77.720424735085203</v>
      </c>
      <c r="U242" t="str">
        <f>_xlfn.IFS(Table13[[#This Row],[Risk_Score]]&gt;80,"High",AND(Table13[[#This Row],[Risk_Score]]&lt;=80,Table13[[#This Row],[Risk_Score]]&gt;45),"Normal",Table13[[#This Row],[Risk_Score]]&lt;=45,"Low")</f>
        <v>Normal</v>
      </c>
      <c r="V242" s="7">
        <f t="shared" si="3"/>
        <v>3706.7803725988601</v>
      </c>
    </row>
    <row r="243" spans="1:22">
      <c r="A243" t="s">
        <v>932</v>
      </c>
      <c r="B243" t="s">
        <v>277</v>
      </c>
      <c r="C243" t="s">
        <v>48</v>
      </c>
      <c r="D243" s="2">
        <v>18201.618943830701</v>
      </c>
      <c r="E243" s="4">
        <v>45835</v>
      </c>
      <c r="F243" t="s">
        <v>933</v>
      </c>
      <c r="G243" t="s">
        <v>59</v>
      </c>
      <c r="H243" t="s">
        <v>1762</v>
      </c>
      <c r="I243" t="s">
        <v>99</v>
      </c>
      <c r="J243" t="s">
        <v>60</v>
      </c>
      <c r="K243" t="s">
        <v>934</v>
      </c>
      <c r="L243" t="s">
        <v>155</v>
      </c>
      <c r="M243" s="2">
        <v>2347.8095473130302</v>
      </c>
      <c r="N243" s="2">
        <v>413.19515580027797</v>
      </c>
      <c r="O243" t="s">
        <v>62</v>
      </c>
      <c r="P243">
        <v>2</v>
      </c>
      <c r="Q243" t="s">
        <v>55</v>
      </c>
      <c r="R243" t="s">
        <v>45</v>
      </c>
      <c r="S243" s="2">
        <v>-9.8303845353288093</v>
      </c>
      <c r="T243" s="2">
        <v>8.4387947894987008</v>
      </c>
      <c r="U243" t="str">
        <f>_xlfn.IFS(Table13[[#This Row],[Risk_Score]]&gt;80,"High",AND(Table13[[#This Row],[Risk_Score]]&lt;=80,Table13[[#This Row],[Risk_Score]]&gt;45),"Normal",Table13[[#This Row],[Risk_Score]]&lt;=45,"Low")</f>
        <v>Low</v>
      </c>
      <c r="V243" s="7">
        <f t="shared" si="3"/>
        <v>1934.61439151275</v>
      </c>
    </row>
    <row r="244" spans="1:22">
      <c r="A244" t="s">
        <v>935</v>
      </c>
      <c r="B244" t="s">
        <v>799</v>
      </c>
      <c r="C244" t="s">
        <v>48</v>
      </c>
      <c r="D244" s="2">
        <v>43374.027555628702</v>
      </c>
      <c r="E244" s="4">
        <v>45835</v>
      </c>
      <c r="F244" t="s">
        <v>936</v>
      </c>
      <c r="G244" t="s">
        <v>172</v>
      </c>
      <c r="H244" t="s">
        <v>1762</v>
      </c>
      <c r="I244" t="s">
        <v>99</v>
      </c>
      <c r="J244" t="s">
        <v>87</v>
      </c>
      <c r="K244" t="s">
        <v>937</v>
      </c>
      <c r="L244" t="s">
        <v>155</v>
      </c>
      <c r="M244" s="2">
        <v>1664.2338699372399</v>
      </c>
      <c r="N244" s="2">
        <v>223.16317999328101</v>
      </c>
      <c r="O244" t="s">
        <v>62</v>
      </c>
      <c r="P244">
        <v>1</v>
      </c>
      <c r="Q244" t="s">
        <v>63</v>
      </c>
      <c r="R244" t="s">
        <v>45</v>
      </c>
      <c r="S244" s="2">
        <v>-23.216821929929399</v>
      </c>
      <c r="T244" s="2">
        <v>73.835127712119501</v>
      </c>
      <c r="U244" t="str">
        <f>_xlfn.IFS(Table13[[#This Row],[Risk_Score]]&gt;80,"High",AND(Table13[[#This Row],[Risk_Score]]&lt;=80,Table13[[#This Row],[Risk_Score]]&gt;45),"Normal",Table13[[#This Row],[Risk_Score]]&lt;=45,"Low")</f>
        <v>Normal</v>
      </c>
      <c r="V244" s="7">
        <f t="shared" si="3"/>
        <v>1441.0706899439599</v>
      </c>
    </row>
    <row r="245" spans="1:22">
      <c r="A245" t="s">
        <v>938</v>
      </c>
      <c r="B245" t="s">
        <v>345</v>
      </c>
      <c r="C245" t="s">
        <v>85</v>
      </c>
      <c r="D245" s="2">
        <v>13687.862550542901</v>
      </c>
      <c r="E245" s="4">
        <v>45836</v>
      </c>
      <c r="F245" t="s">
        <v>939</v>
      </c>
      <c r="G245" t="s">
        <v>163</v>
      </c>
      <c r="H245" t="s">
        <v>38</v>
      </c>
      <c r="I245" t="s">
        <v>51</v>
      </c>
      <c r="J245" t="s">
        <v>87</v>
      </c>
      <c r="K245" t="s">
        <v>940</v>
      </c>
      <c r="L245" t="s">
        <v>120</v>
      </c>
      <c r="M245" s="2">
        <v>450.72099377265602</v>
      </c>
      <c r="N245" s="2">
        <v>0</v>
      </c>
      <c r="O245" t="s">
        <v>43</v>
      </c>
      <c r="P245">
        <v>0</v>
      </c>
      <c r="Q245" t="s">
        <v>44</v>
      </c>
      <c r="R245" t="s">
        <v>32</v>
      </c>
      <c r="S245" s="2">
        <v>14.053668071164999</v>
      </c>
      <c r="T245" s="2">
        <v>10.580035942414</v>
      </c>
      <c r="U245" t="str">
        <f>_xlfn.IFS(Table13[[#This Row],[Risk_Score]]&gt;80,"High",AND(Table13[[#This Row],[Risk_Score]]&lt;=80,Table13[[#This Row],[Risk_Score]]&gt;45),"Normal",Table13[[#This Row],[Risk_Score]]&lt;=45,"Low")</f>
        <v>Low</v>
      </c>
      <c r="V245" s="7">
        <f t="shared" si="3"/>
        <v>450.72099377265602</v>
      </c>
    </row>
    <row r="246" spans="1:22">
      <c r="A246" t="s">
        <v>941</v>
      </c>
      <c r="B246" t="s">
        <v>942</v>
      </c>
      <c r="C246" t="s">
        <v>48</v>
      </c>
      <c r="D246" s="2">
        <v>28923.834509168199</v>
      </c>
      <c r="E246" s="4">
        <v>45838</v>
      </c>
      <c r="F246" t="s">
        <v>943</v>
      </c>
      <c r="G246" t="s">
        <v>172</v>
      </c>
      <c r="H246" t="s">
        <v>38</v>
      </c>
      <c r="I246" t="s">
        <v>51</v>
      </c>
      <c r="J246" t="s">
        <v>87</v>
      </c>
      <c r="K246" t="s">
        <v>944</v>
      </c>
      <c r="L246" t="s">
        <v>29</v>
      </c>
      <c r="M246" s="2">
        <v>2843.7571326779998</v>
      </c>
      <c r="N246" s="2">
        <v>0</v>
      </c>
      <c r="O246" t="s">
        <v>43</v>
      </c>
      <c r="P246">
        <v>2</v>
      </c>
      <c r="Q246" t="s">
        <v>55</v>
      </c>
      <c r="R246" t="s">
        <v>133</v>
      </c>
      <c r="S246" s="2">
        <v>13.308025292991401</v>
      </c>
      <c r="T246" s="2">
        <v>57.121390961479698</v>
      </c>
      <c r="U246" t="str">
        <f>_xlfn.IFS(Table13[[#This Row],[Risk_Score]]&gt;80,"High",AND(Table13[[#This Row],[Risk_Score]]&lt;=80,Table13[[#This Row],[Risk_Score]]&gt;45),"Normal",Table13[[#This Row],[Risk_Score]]&lt;=45,"Low")</f>
        <v>Normal</v>
      </c>
      <c r="V246" s="7">
        <f t="shared" si="3"/>
        <v>2843.7571326779998</v>
      </c>
    </row>
    <row r="247" spans="1:22">
      <c r="A247" t="s">
        <v>945</v>
      </c>
      <c r="B247" t="s">
        <v>528</v>
      </c>
      <c r="C247" t="s">
        <v>22</v>
      </c>
      <c r="D247" s="2">
        <v>34260.120239203701</v>
      </c>
      <c r="E247" s="4">
        <v>45838</v>
      </c>
      <c r="F247" t="s">
        <v>946</v>
      </c>
      <c r="G247" t="s">
        <v>172</v>
      </c>
      <c r="H247" t="s">
        <v>1762</v>
      </c>
      <c r="I247" t="s">
        <v>99</v>
      </c>
      <c r="J247" t="s">
        <v>87</v>
      </c>
      <c r="K247" t="s">
        <v>947</v>
      </c>
      <c r="L247" t="s">
        <v>81</v>
      </c>
      <c r="M247" s="2">
        <v>3142.0866727043999</v>
      </c>
      <c r="N247" s="2">
        <v>116.42927843804701</v>
      </c>
      <c r="O247" t="s">
        <v>62</v>
      </c>
      <c r="P247">
        <v>0</v>
      </c>
      <c r="Q247" t="s">
        <v>31</v>
      </c>
      <c r="R247" t="s">
        <v>45</v>
      </c>
      <c r="S247" s="2">
        <v>-5.4724189637296403</v>
      </c>
      <c r="T247" s="2">
        <v>93.624038780720298</v>
      </c>
      <c r="U247" t="str">
        <f>_xlfn.IFS(Table13[[#This Row],[Risk_Score]]&gt;80,"High",AND(Table13[[#This Row],[Risk_Score]]&lt;=80,Table13[[#This Row],[Risk_Score]]&gt;45),"Normal",Table13[[#This Row],[Risk_Score]]&lt;=45,"Low")</f>
        <v>High</v>
      </c>
      <c r="V247" s="7">
        <f t="shared" si="3"/>
        <v>3025.6573942663499</v>
      </c>
    </row>
    <row r="248" spans="1:22">
      <c r="A248" t="s">
        <v>948</v>
      </c>
      <c r="B248" t="s">
        <v>949</v>
      </c>
      <c r="C248" t="s">
        <v>85</v>
      </c>
      <c r="D248" s="2">
        <v>13398.269829207</v>
      </c>
      <c r="E248" s="4">
        <v>45840</v>
      </c>
      <c r="F248" t="s">
        <v>950</v>
      </c>
      <c r="G248" t="s">
        <v>37</v>
      </c>
      <c r="H248" t="s">
        <v>25</v>
      </c>
      <c r="I248" t="s">
        <v>99</v>
      </c>
      <c r="J248" t="s">
        <v>60</v>
      </c>
      <c r="K248" t="s">
        <v>951</v>
      </c>
      <c r="L248" t="s">
        <v>29</v>
      </c>
      <c r="M248" s="2">
        <v>3519.2852106708701</v>
      </c>
      <c r="N248" s="2">
        <v>0</v>
      </c>
      <c r="O248" t="s">
        <v>43</v>
      </c>
      <c r="P248">
        <v>0</v>
      </c>
      <c r="Q248" t="s">
        <v>31</v>
      </c>
      <c r="R248" t="s">
        <v>133</v>
      </c>
      <c r="S248" s="2">
        <v>17.5434465215288</v>
      </c>
      <c r="T248" s="2">
        <v>10.1952549580277</v>
      </c>
      <c r="U248" t="str">
        <f>_xlfn.IFS(Table13[[#This Row],[Risk_Score]]&gt;80,"High",AND(Table13[[#This Row],[Risk_Score]]&lt;=80,Table13[[#This Row],[Risk_Score]]&gt;45),"Normal",Table13[[#This Row],[Risk_Score]]&lt;=45,"Low")</f>
        <v>Low</v>
      </c>
      <c r="V248" s="7">
        <f t="shared" si="3"/>
        <v>3519.2852106708701</v>
      </c>
    </row>
    <row r="249" spans="1:22">
      <c r="A249" t="s">
        <v>952</v>
      </c>
      <c r="B249" t="s">
        <v>953</v>
      </c>
      <c r="C249" t="s">
        <v>22</v>
      </c>
      <c r="D249" s="2">
        <v>2440.1337427818698</v>
      </c>
      <c r="E249" s="4">
        <v>45840</v>
      </c>
      <c r="F249" t="s">
        <v>954</v>
      </c>
      <c r="G249" t="s">
        <v>24</v>
      </c>
      <c r="H249" t="s">
        <v>38</v>
      </c>
      <c r="I249" t="s">
        <v>99</v>
      </c>
      <c r="J249" t="s">
        <v>60</v>
      </c>
      <c r="K249" t="s">
        <v>955</v>
      </c>
      <c r="L249" t="s">
        <v>53</v>
      </c>
      <c r="M249" s="2">
        <v>1676.3628419347001</v>
      </c>
      <c r="N249" s="2">
        <v>0</v>
      </c>
      <c r="O249" t="s">
        <v>62</v>
      </c>
      <c r="P249">
        <v>1</v>
      </c>
      <c r="Q249" t="s">
        <v>95</v>
      </c>
      <c r="R249" t="s">
        <v>45</v>
      </c>
      <c r="S249" s="2">
        <v>-10.7074900561277</v>
      </c>
      <c r="T249" s="2">
        <v>17.603968215497101</v>
      </c>
      <c r="U249" t="str">
        <f>_xlfn.IFS(Table13[[#This Row],[Risk_Score]]&gt;80,"High",AND(Table13[[#This Row],[Risk_Score]]&lt;=80,Table13[[#This Row],[Risk_Score]]&gt;45),"Normal",Table13[[#This Row],[Risk_Score]]&lt;=45,"Low")</f>
        <v>Low</v>
      </c>
      <c r="V249" s="7">
        <f t="shared" si="3"/>
        <v>1676.3628419347001</v>
      </c>
    </row>
    <row r="250" spans="1:22">
      <c r="A250" t="s">
        <v>956</v>
      </c>
      <c r="B250" t="s">
        <v>957</v>
      </c>
      <c r="C250" t="s">
        <v>35</v>
      </c>
      <c r="D250" s="2">
        <v>45532.516792323302</v>
      </c>
      <c r="E250" s="4">
        <v>45842</v>
      </c>
      <c r="F250" t="s">
        <v>958</v>
      </c>
      <c r="G250" t="s">
        <v>141</v>
      </c>
      <c r="H250" t="s">
        <v>1762</v>
      </c>
      <c r="I250" t="s">
        <v>51</v>
      </c>
      <c r="J250" t="s">
        <v>60</v>
      </c>
      <c r="K250" t="s">
        <v>959</v>
      </c>
      <c r="L250" t="s">
        <v>155</v>
      </c>
      <c r="M250" s="2">
        <v>1373.7056284369301</v>
      </c>
      <c r="N250" s="2">
        <v>0</v>
      </c>
      <c r="O250" t="s">
        <v>43</v>
      </c>
      <c r="P250">
        <v>0</v>
      </c>
      <c r="Q250" t="s">
        <v>1763</v>
      </c>
      <c r="R250" t="s">
        <v>32</v>
      </c>
      <c r="S250" s="2">
        <v>-1.2778967658400699</v>
      </c>
      <c r="T250" s="2">
        <v>40.610998050255802</v>
      </c>
      <c r="U250" t="str">
        <f>_xlfn.IFS(Table13[[#This Row],[Risk_Score]]&gt;80,"High",AND(Table13[[#This Row],[Risk_Score]]&lt;=80,Table13[[#This Row],[Risk_Score]]&gt;45),"Normal",Table13[[#This Row],[Risk_Score]]&lt;=45,"Low")</f>
        <v>Low</v>
      </c>
      <c r="V250" s="7">
        <f t="shared" si="3"/>
        <v>1373.7056284369301</v>
      </c>
    </row>
    <row r="251" spans="1:22">
      <c r="A251" t="s">
        <v>960</v>
      </c>
      <c r="B251" t="s">
        <v>961</v>
      </c>
      <c r="C251" t="s">
        <v>48</v>
      </c>
      <c r="D251" s="2">
        <v>48388.199471533597</v>
      </c>
      <c r="E251" s="4">
        <v>45843</v>
      </c>
      <c r="F251" t="s">
        <v>962</v>
      </c>
      <c r="G251" t="s">
        <v>181</v>
      </c>
      <c r="H251" t="s">
        <v>38</v>
      </c>
      <c r="I251" t="s">
        <v>99</v>
      </c>
      <c r="J251" t="s">
        <v>87</v>
      </c>
      <c r="K251" t="s">
        <v>963</v>
      </c>
      <c r="L251" t="s">
        <v>155</v>
      </c>
      <c r="M251" s="2">
        <v>333.68603455190998</v>
      </c>
      <c r="N251" s="2">
        <v>0</v>
      </c>
      <c r="O251" t="s">
        <v>62</v>
      </c>
      <c r="P251">
        <v>0</v>
      </c>
      <c r="Q251" t="s">
        <v>44</v>
      </c>
      <c r="R251" t="s">
        <v>133</v>
      </c>
      <c r="S251" s="2">
        <v>26.508990003009401</v>
      </c>
      <c r="T251" s="2">
        <v>47.160857074109202</v>
      </c>
      <c r="U251" t="str">
        <f>_xlfn.IFS(Table13[[#This Row],[Risk_Score]]&gt;80,"High",AND(Table13[[#This Row],[Risk_Score]]&lt;=80,Table13[[#This Row],[Risk_Score]]&gt;45),"Normal",Table13[[#This Row],[Risk_Score]]&lt;=45,"Low")</f>
        <v>Normal</v>
      </c>
      <c r="V251" s="7">
        <f t="shared" si="3"/>
        <v>333.68603455190998</v>
      </c>
    </row>
    <row r="252" spans="1:22">
      <c r="A252" t="s">
        <v>964</v>
      </c>
      <c r="B252" t="s">
        <v>965</v>
      </c>
      <c r="C252" t="s">
        <v>35</v>
      </c>
      <c r="D252" s="2">
        <v>36172.515221426598</v>
      </c>
      <c r="E252" s="4">
        <v>45843</v>
      </c>
      <c r="F252" t="s">
        <v>966</v>
      </c>
      <c r="G252" t="s">
        <v>181</v>
      </c>
      <c r="H252" t="s">
        <v>38</v>
      </c>
      <c r="I252" t="s">
        <v>99</v>
      </c>
      <c r="J252" t="s">
        <v>87</v>
      </c>
      <c r="K252" t="s">
        <v>967</v>
      </c>
      <c r="L252" t="s">
        <v>42</v>
      </c>
      <c r="M252" s="2">
        <v>4317.27690575416</v>
      </c>
      <c r="N252" s="2">
        <v>0</v>
      </c>
      <c r="O252" t="s">
        <v>43</v>
      </c>
      <c r="P252">
        <v>1</v>
      </c>
      <c r="Q252" t="s">
        <v>31</v>
      </c>
      <c r="R252" t="s">
        <v>32</v>
      </c>
      <c r="S252" s="2">
        <v>15.2208309325794</v>
      </c>
      <c r="T252" s="2">
        <v>57.983423828108997</v>
      </c>
      <c r="U252" t="str">
        <f>_xlfn.IFS(Table13[[#This Row],[Risk_Score]]&gt;80,"High",AND(Table13[[#This Row],[Risk_Score]]&lt;=80,Table13[[#This Row],[Risk_Score]]&gt;45),"Normal",Table13[[#This Row],[Risk_Score]]&lt;=45,"Low")</f>
        <v>Normal</v>
      </c>
      <c r="V252" s="7">
        <f t="shared" si="3"/>
        <v>4317.27690575416</v>
      </c>
    </row>
    <row r="253" spans="1:22">
      <c r="A253" t="s">
        <v>968</v>
      </c>
      <c r="B253" t="s">
        <v>674</v>
      </c>
      <c r="C253" t="s">
        <v>85</v>
      </c>
      <c r="D253" s="2">
        <v>34855.423164731197</v>
      </c>
      <c r="E253" s="4">
        <v>45844</v>
      </c>
      <c r="F253" t="s">
        <v>969</v>
      </c>
      <c r="G253" t="s">
        <v>59</v>
      </c>
      <c r="H253" t="s">
        <v>1762</v>
      </c>
      <c r="I253" t="s">
        <v>99</v>
      </c>
      <c r="J253" t="s">
        <v>87</v>
      </c>
      <c r="K253" t="s">
        <v>970</v>
      </c>
      <c r="L253" t="s">
        <v>120</v>
      </c>
      <c r="M253" s="2">
        <v>75.441156548523495</v>
      </c>
      <c r="N253" s="2">
        <v>0</v>
      </c>
      <c r="O253" t="s">
        <v>62</v>
      </c>
      <c r="P253">
        <v>2</v>
      </c>
      <c r="Q253" t="s">
        <v>63</v>
      </c>
      <c r="R253" t="s">
        <v>45</v>
      </c>
      <c r="S253" s="2">
        <v>-25.371337554836298</v>
      </c>
      <c r="T253" s="2">
        <v>68.544052237129094</v>
      </c>
      <c r="U253" t="str">
        <f>_xlfn.IFS(Table13[[#This Row],[Risk_Score]]&gt;80,"High",AND(Table13[[#This Row],[Risk_Score]]&lt;=80,Table13[[#This Row],[Risk_Score]]&gt;45),"Normal",Table13[[#This Row],[Risk_Score]]&lt;=45,"Low")</f>
        <v>Normal</v>
      </c>
      <c r="V253" s="7">
        <f t="shared" si="3"/>
        <v>75.441156548523495</v>
      </c>
    </row>
    <row r="254" spans="1:22">
      <c r="A254" t="s">
        <v>971</v>
      </c>
      <c r="B254" t="s">
        <v>84</v>
      </c>
      <c r="C254" t="s">
        <v>48</v>
      </c>
      <c r="D254" s="2">
        <v>10331.761892475601</v>
      </c>
      <c r="E254" s="4">
        <v>45845</v>
      </c>
      <c r="F254" t="s">
        <v>972</v>
      </c>
      <c r="G254" t="s">
        <v>59</v>
      </c>
      <c r="H254" t="s">
        <v>1762</v>
      </c>
      <c r="I254" t="s">
        <v>99</v>
      </c>
      <c r="J254" t="s">
        <v>60</v>
      </c>
      <c r="K254" t="s">
        <v>973</v>
      </c>
      <c r="L254" t="s">
        <v>42</v>
      </c>
      <c r="M254" s="2">
        <v>464.43844233447498</v>
      </c>
      <c r="N254" s="2">
        <v>352.01572629582802</v>
      </c>
      <c r="O254" t="s">
        <v>43</v>
      </c>
      <c r="P254">
        <v>3</v>
      </c>
      <c r="Q254" t="s">
        <v>44</v>
      </c>
      <c r="R254" t="s">
        <v>45</v>
      </c>
      <c r="S254" s="2">
        <v>-11.42395529487</v>
      </c>
      <c r="T254" s="2">
        <v>88.694211088286707</v>
      </c>
      <c r="U254" t="str">
        <f>_xlfn.IFS(Table13[[#This Row],[Risk_Score]]&gt;80,"High",AND(Table13[[#This Row],[Risk_Score]]&lt;=80,Table13[[#This Row],[Risk_Score]]&gt;45),"Normal",Table13[[#This Row],[Risk_Score]]&lt;=45,"Low")</f>
        <v>High</v>
      </c>
      <c r="V254" s="7">
        <f t="shared" si="3"/>
        <v>112.422716038647</v>
      </c>
    </row>
    <row r="255" spans="1:22">
      <c r="A255" t="s">
        <v>974</v>
      </c>
      <c r="B255" t="s">
        <v>293</v>
      </c>
      <c r="C255" t="s">
        <v>48</v>
      </c>
      <c r="D255" s="2">
        <v>10979.353063954901</v>
      </c>
      <c r="E255" s="4">
        <v>45845</v>
      </c>
      <c r="F255" t="s">
        <v>975</v>
      </c>
      <c r="G255" t="s">
        <v>37</v>
      </c>
      <c r="H255" t="s">
        <v>1762</v>
      </c>
      <c r="I255" t="s">
        <v>51</v>
      </c>
      <c r="J255" t="s">
        <v>60</v>
      </c>
      <c r="K255" t="s">
        <v>976</v>
      </c>
      <c r="L255" t="s">
        <v>81</v>
      </c>
      <c r="M255" s="2">
        <v>1533.3599850153801</v>
      </c>
      <c r="N255" s="2">
        <v>0</v>
      </c>
      <c r="O255" t="s">
        <v>62</v>
      </c>
      <c r="P255">
        <v>3</v>
      </c>
      <c r="Q255" t="s">
        <v>95</v>
      </c>
      <c r="R255" t="s">
        <v>45</v>
      </c>
      <c r="S255" s="2">
        <v>22.662777641816401</v>
      </c>
      <c r="T255" s="2">
        <v>32.307106840575102</v>
      </c>
      <c r="U255" t="str">
        <f>_xlfn.IFS(Table13[[#This Row],[Risk_Score]]&gt;80,"High",AND(Table13[[#This Row],[Risk_Score]]&lt;=80,Table13[[#This Row],[Risk_Score]]&gt;45),"Normal",Table13[[#This Row],[Risk_Score]]&lt;=45,"Low")</f>
        <v>Low</v>
      </c>
      <c r="V255" s="7">
        <f t="shared" si="3"/>
        <v>1533.3599850153801</v>
      </c>
    </row>
    <row r="256" spans="1:22">
      <c r="A256" t="s">
        <v>977</v>
      </c>
      <c r="B256" t="s">
        <v>289</v>
      </c>
      <c r="C256" t="s">
        <v>48</v>
      </c>
      <c r="D256" s="2">
        <v>23710.993432489398</v>
      </c>
      <c r="E256" s="4">
        <v>45845</v>
      </c>
      <c r="F256" t="s">
        <v>978</v>
      </c>
      <c r="G256" t="s">
        <v>68</v>
      </c>
      <c r="H256" t="s">
        <v>1763</v>
      </c>
      <c r="I256" t="s">
        <v>51</v>
      </c>
      <c r="J256" t="s">
        <v>60</v>
      </c>
      <c r="K256" t="s">
        <v>979</v>
      </c>
      <c r="L256" t="s">
        <v>120</v>
      </c>
      <c r="M256" s="2">
        <v>4084.6068983452401</v>
      </c>
      <c r="N256" s="2">
        <v>155.11764187235201</v>
      </c>
      <c r="O256" t="s">
        <v>62</v>
      </c>
      <c r="P256">
        <v>4</v>
      </c>
      <c r="Q256" t="s">
        <v>44</v>
      </c>
      <c r="R256" t="s">
        <v>32</v>
      </c>
      <c r="S256" s="2">
        <v>-3.1227781691288601</v>
      </c>
      <c r="T256" s="2">
        <v>84.040033148934</v>
      </c>
      <c r="U256" t="str">
        <f>_xlfn.IFS(Table13[[#This Row],[Risk_Score]]&gt;80,"High",AND(Table13[[#This Row],[Risk_Score]]&lt;=80,Table13[[#This Row],[Risk_Score]]&gt;45),"Normal",Table13[[#This Row],[Risk_Score]]&lt;=45,"Low")</f>
        <v>High</v>
      </c>
      <c r="V256" s="7">
        <f t="shared" si="3"/>
        <v>3929.4892564728898</v>
      </c>
    </row>
    <row r="257" spans="1:22">
      <c r="A257" t="s">
        <v>980</v>
      </c>
      <c r="B257" t="s">
        <v>372</v>
      </c>
      <c r="C257" t="s">
        <v>35</v>
      </c>
      <c r="D257" s="2">
        <v>27035.0749895402</v>
      </c>
      <c r="E257" s="4">
        <v>45845</v>
      </c>
      <c r="F257" t="s">
        <v>981</v>
      </c>
      <c r="G257" t="s">
        <v>172</v>
      </c>
      <c r="H257" t="s">
        <v>1762</v>
      </c>
      <c r="I257" t="s">
        <v>51</v>
      </c>
      <c r="J257" t="s">
        <v>60</v>
      </c>
      <c r="K257" t="s">
        <v>982</v>
      </c>
      <c r="L257" t="s">
        <v>81</v>
      </c>
      <c r="M257" s="2">
        <v>354.05438983617199</v>
      </c>
      <c r="N257" s="2">
        <v>0</v>
      </c>
      <c r="O257" t="s">
        <v>62</v>
      </c>
      <c r="P257">
        <v>4</v>
      </c>
      <c r="Q257" t="s">
        <v>55</v>
      </c>
      <c r="R257" t="s">
        <v>45</v>
      </c>
      <c r="S257" s="2">
        <v>-9.0568545323069198</v>
      </c>
      <c r="T257" s="2">
        <v>68.091721261725098</v>
      </c>
      <c r="U257" t="str">
        <f>_xlfn.IFS(Table13[[#This Row],[Risk_Score]]&gt;80,"High",AND(Table13[[#This Row],[Risk_Score]]&lt;=80,Table13[[#This Row],[Risk_Score]]&gt;45),"Normal",Table13[[#This Row],[Risk_Score]]&lt;=45,"Low")</f>
        <v>Normal</v>
      </c>
      <c r="V257" s="7">
        <f t="shared" si="3"/>
        <v>354.05438983617199</v>
      </c>
    </row>
    <row r="258" spans="1:22">
      <c r="A258" t="s">
        <v>983</v>
      </c>
      <c r="B258" t="s">
        <v>984</v>
      </c>
      <c r="C258" t="s">
        <v>85</v>
      </c>
      <c r="D258" s="2">
        <v>235.273880775051</v>
      </c>
      <c r="E258" s="4">
        <v>45848</v>
      </c>
      <c r="F258" t="s">
        <v>985</v>
      </c>
      <c r="G258" t="s">
        <v>37</v>
      </c>
      <c r="H258" t="s">
        <v>1762</v>
      </c>
      <c r="I258" t="s">
        <v>51</v>
      </c>
      <c r="J258" t="s">
        <v>60</v>
      </c>
      <c r="K258" t="s">
        <v>986</v>
      </c>
      <c r="L258" t="s">
        <v>29</v>
      </c>
      <c r="M258" s="2">
        <v>3708.5025388651202</v>
      </c>
      <c r="N258" s="2">
        <v>0</v>
      </c>
      <c r="O258" t="s">
        <v>43</v>
      </c>
      <c r="P258">
        <v>2</v>
      </c>
      <c r="Q258" t="s">
        <v>1763</v>
      </c>
      <c r="R258" t="s">
        <v>45</v>
      </c>
      <c r="S258" s="2">
        <v>-25.220764342774601</v>
      </c>
      <c r="T258" s="2">
        <v>52.783403756127399</v>
      </c>
      <c r="U258" t="str">
        <f>_xlfn.IFS(Table13[[#This Row],[Risk_Score]]&gt;80,"High",AND(Table13[[#This Row],[Risk_Score]]&lt;=80,Table13[[#This Row],[Risk_Score]]&gt;45),"Normal",Table13[[#This Row],[Risk_Score]]&lt;=45,"Low")</f>
        <v>Normal</v>
      </c>
      <c r="V258" s="7">
        <f t="shared" ref="V258:V321" si="4">IF(M258-N258&gt;0,M258-N258,0)</f>
        <v>3708.5025388651202</v>
      </c>
    </row>
    <row r="259" spans="1:22">
      <c r="A259" t="s">
        <v>987</v>
      </c>
      <c r="B259" t="s">
        <v>678</v>
      </c>
      <c r="C259" t="s">
        <v>85</v>
      </c>
      <c r="D259" s="2">
        <v>26870.419439081299</v>
      </c>
      <c r="E259" s="4">
        <v>45849</v>
      </c>
      <c r="F259" t="s">
        <v>988</v>
      </c>
      <c r="G259" t="s">
        <v>59</v>
      </c>
      <c r="H259" t="s">
        <v>1762</v>
      </c>
      <c r="I259" t="s">
        <v>99</v>
      </c>
      <c r="J259" t="s">
        <v>60</v>
      </c>
      <c r="K259" t="s">
        <v>989</v>
      </c>
      <c r="L259" t="s">
        <v>53</v>
      </c>
      <c r="M259" s="2">
        <v>2228.3518215791701</v>
      </c>
      <c r="N259" s="2">
        <v>0</v>
      </c>
      <c r="O259" t="s">
        <v>62</v>
      </c>
      <c r="P259">
        <v>2</v>
      </c>
      <c r="Q259" t="s">
        <v>44</v>
      </c>
      <c r="R259" t="s">
        <v>32</v>
      </c>
      <c r="S259" s="2">
        <v>14.569876587941399</v>
      </c>
      <c r="T259" s="2">
        <v>92.958309459756904</v>
      </c>
      <c r="U259" t="str">
        <f>_xlfn.IFS(Table13[[#This Row],[Risk_Score]]&gt;80,"High",AND(Table13[[#This Row],[Risk_Score]]&lt;=80,Table13[[#This Row],[Risk_Score]]&gt;45),"Normal",Table13[[#This Row],[Risk_Score]]&lt;=45,"Low")</f>
        <v>High</v>
      </c>
      <c r="V259" s="7">
        <f t="shared" si="4"/>
        <v>2228.3518215791701</v>
      </c>
    </row>
    <row r="260" spans="1:22">
      <c r="A260" t="s">
        <v>990</v>
      </c>
      <c r="B260" t="s">
        <v>702</v>
      </c>
      <c r="C260" t="s">
        <v>48</v>
      </c>
      <c r="D260" s="2">
        <v>37644.915689937203</v>
      </c>
      <c r="E260" s="4">
        <v>45849</v>
      </c>
      <c r="F260" t="s">
        <v>991</v>
      </c>
      <c r="G260" t="s">
        <v>181</v>
      </c>
      <c r="H260" t="s">
        <v>38</v>
      </c>
      <c r="I260" t="s">
        <v>99</v>
      </c>
      <c r="J260" t="s">
        <v>87</v>
      </c>
      <c r="K260" t="s">
        <v>76</v>
      </c>
      <c r="L260" t="s">
        <v>155</v>
      </c>
      <c r="M260" s="2">
        <v>152.75225901362299</v>
      </c>
      <c r="N260" s="2">
        <v>0</v>
      </c>
      <c r="O260" t="s">
        <v>43</v>
      </c>
      <c r="P260">
        <v>4</v>
      </c>
      <c r="Q260" t="s">
        <v>63</v>
      </c>
      <c r="R260" t="s">
        <v>133</v>
      </c>
      <c r="S260" s="2">
        <v>6.4095938153149703</v>
      </c>
      <c r="T260" s="2">
        <v>62.437269792361</v>
      </c>
      <c r="U260" t="str">
        <f>_xlfn.IFS(Table13[[#This Row],[Risk_Score]]&gt;80,"High",AND(Table13[[#This Row],[Risk_Score]]&lt;=80,Table13[[#This Row],[Risk_Score]]&gt;45),"Normal",Table13[[#This Row],[Risk_Score]]&lt;=45,"Low")</f>
        <v>Normal</v>
      </c>
      <c r="V260" s="7">
        <f t="shared" si="4"/>
        <v>152.75225901362299</v>
      </c>
    </row>
    <row r="261" spans="1:22">
      <c r="A261" t="s">
        <v>992</v>
      </c>
      <c r="B261" t="s">
        <v>459</v>
      </c>
      <c r="C261" t="s">
        <v>35</v>
      </c>
      <c r="D261" s="2">
        <v>23059.946033280201</v>
      </c>
      <c r="E261" s="4">
        <v>45850</v>
      </c>
      <c r="F261" t="s">
        <v>993</v>
      </c>
      <c r="G261" t="s">
        <v>172</v>
      </c>
      <c r="H261" t="s">
        <v>1762</v>
      </c>
      <c r="I261" t="s">
        <v>26</v>
      </c>
      <c r="J261" t="s">
        <v>87</v>
      </c>
      <c r="K261" t="s">
        <v>994</v>
      </c>
      <c r="L261" t="s">
        <v>155</v>
      </c>
      <c r="M261" s="2">
        <v>1194.83564516398</v>
      </c>
      <c r="N261" s="2">
        <v>0</v>
      </c>
      <c r="O261" t="s">
        <v>54</v>
      </c>
      <c r="P261">
        <v>1</v>
      </c>
      <c r="Q261" t="s">
        <v>95</v>
      </c>
      <c r="R261" t="s">
        <v>133</v>
      </c>
      <c r="S261" s="2">
        <v>-27.2158268390925</v>
      </c>
      <c r="T261" s="2">
        <v>21.289425465999301</v>
      </c>
      <c r="U261" t="str">
        <f>_xlfn.IFS(Table13[[#This Row],[Risk_Score]]&gt;80,"High",AND(Table13[[#This Row],[Risk_Score]]&lt;=80,Table13[[#This Row],[Risk_Score]]&gt;45),"Normal",Table13[[#This Row],[Risk_Score]]&lt;=45,"Low")</f>
        <v>Low</v>
      </c>
      <c r="V261" s="7">
        <f t="shared" si="4"/>
        <v>1194.83564516398</v>
      </c>
    </row>
    <row r="262" spans="1:22">
      <c r="A262" t="s">
        <v>995</v>
      </c>
      <c r="B262" t="s">
        <v>161</v>
      </c>
      <c r="C262" t="s">
        <v>48</v>
      </c>
      <c r="D262" s="2">
        <v>7242.0864788686304</v>
      </c>
      <c r="E262" s="4">
        <v>45850</v>
      </c>
      <c r="F262" t="s">
        <v>996</v>
      </c>
      <c r="G262" t="s">
        <v>59</v>
      </c>
      <c r="H262" t="s">
        <v>1762</v>
      </c>
      <c r="I262" t="s">
        <v>99</v>
      </c>
      <c r="J262" t="s">
        <v>87</v>
      </c>
      <c r="K262" t="s">
        <v>997</v>
      </c>
      <c r="L262" t="s">
        <v>29</v>
      </c>
      <c r="M262" s="2">
        <v>4330.0291552835897</v>
      </c>
      <c r="N262" s="2">
        <v>0</v>
      </c>
      <c r="O262" t="s">
        <v>43</v>
      </c>
      <c r="P262">
        <v>1</v>
      </c>
      <c r="Q262" t="s">
        <v>31</v>
      </c>
      <c r="R262" t="s">
        <v>133</v>
      </c>
      <c r="S262" s="2">
        <v>22.058496883213401</v>
      </c>
      <c r="T262" s="2">
        <v>63.103417571204901</v>
      </c>
      <c r="U262" t="str">
        <f>_xlfn.IFS(Table13[[#This Row],[Risk_Score]]&gt;80,"High",AND(Table13[[#This Row],[Risk_Score]]&lt;=80,Table13[[#This Row],[Risk_Score]]&gt;45),"Normal",Table13[[#This Row],[Risk_Score]]&lt;=45,"Low")</f>
        <v>Normal</v>
      </c>
      <c r="V262" s="7">
        <f t="shared" si="4"/>
        <v>4330.0291552835897</v>
      </c>
    </row>
    <row r="263" spans="1:22">
      <c r="A263" t="s">
        <v>998</v>
      </c>
      <c r="B263" t="s">
        <v>685</v>
      </c>
      <c r="C263" t="s">
        <v>35</v>
      </c>
      <c r="D263" s="2">
        <v>47226.045306305903</v>
      </c>
      <c r="E263" s="4">
        <v>45851</v>
      </c>
      <c r="F263" t="s">
        <v>999</v>
      </c>
      <c r="G263" t="s">
        <v>68</v>
      </c>
      <c r="H263" t="s">
        <v>38</v>
      </c>
      <c r="I263" t="s">
        <v>99</v>
      </c>
      <c r="J263" t="s">
        <v>87</v>
      </c>
      <c r="K263" t="s">
        <v>1000</v>
      </c>
      <c r="L263" t="s">
        <v>42</v>
      </c>
      <c r="M263" s="2">
        <v>992.16802672048505</v>
      </c>
      <c r="N263" s="2">
        <v>323.671067186546</v>
      </c>
      <c r="O263" t="s">
        <v>43</v>
      </c>
      <c r="P263">
        <v>0</v>
      </c>
      <c r="Q263" t="s">
        <v>63</v>
      </c>
      <c r="R263" t="s">
        <v>32</v>
      </c>
      <c r="S263" s="2">
        <v>-18.2934707985474</v>
      </c>
      <c r="T263" s="2">
        <v>34.573025219299801</v>
      </c>
      <c r="U263" t="str">
        <f>_xlfn.IFS(Table13[[#This Row],[Risk_Score]]&gt;80,"High",AND(Table13[[#This Row],[Risk_Score]]&lt;=80,Table13[[#This Row],[Risk_Score]]&gt;45),"Normal",Table13[[#This Row],[Risk_Score]]&lt;=45,"Low")</f>
        <v>Low</v>
      </c>
      <c r="V263" s="7">
        <f t="shared" si="4"/>
        <v>668.49695953393905</v>
      </c>
    </row>
    <row r="264" spans="1:22">
      <c r="A264" t="s">
        <v>1001</v>
      </c>
      <c r="B264" t="s">
        <v>748</v>
      </c>
      <c r="C264" t="s">
        <v>22</v>
      </c>
      <c r="D264" s="2">
        <v>19000.754034969301</v>
      </c>
      <c r="E264" s="4">
        <v>45852</v>
      </c>
      <c r="F264" t="s">
        <v>1002</v>
      </c>
      <c r="G264" t="s">
        <v>163</v>
      </c>
      <c r="H264" t="s">
        <v>38</v>
      </c>
      <c r="I264" t="s">
        <v>26</v>
      </c>
      <c r="J264" t="s">
        <v>87</v>
      </c>
      <c r="K264" t="s">
        <v>1003</v>
      </c>
      <c r="L264" t="s">
        <v>120</v>
      </c>
      <c r="M264" s="2">
        <v>653.34600853473898</v>
      </c>
      <c r="N264" s="2">
        <v>0</v>
      </c>
      <c r="O264" t="s">
        <v>43</v>
      </c>
      <c r="P264">
        <v>0</v>
      </c>
      <c r="Q264" t="s">
        <v>31</v>
      </c>
      <c r="R264" t="s">
        <v>45</v>
      </c>
      <c r="S264" s="2">
        <v>22.329669118170401</v>
      </c>
      <c r="T264" s="2">
        <v>43.717204956017703</v>
      </c>
      <c r="U264" t="str">
        <f>_xlfn.IFS(Table13[[#This Row],[Risk_Score]]&gt;80,"High",AND(Table13[[#This Row],[Risk_Score]]&lt;=80,Table13[[#This Row],[Risk_Score]]&gt;45),"Normal",Table13[[#This Row],[Risk_Score]]&lt;=45,"Low")</f>
        <v>Low</v>
      </c>
      <c r="V264" s="7">
        <f t="shared" si="4"/>
        <v>653.34600853473898</v>
      </c>
    </row>
    <row r="265" spans="1:22">
      <c r="A265" t="s">
        <v>1004</v>
      </c>
      <c r="B265" t="s">
        <v>1005</v>
      </c>
      <c r="C265" t="s">
        <v>85</v>
      </c>
      <c r="D265" s="2">
        <v>39525.223392491898</v>
      </c>
      <c r="E265" s="4">
        <v>45852</v>
      </c>
      <c r="F265" t="s">
        <v>1006</v>
      </c>
      <c r="G265" t="s">
        <v>68</v>
      </c>
      <c r="H265" t="s">
        <v>25</v>
      </c>
      <c r="I265" t="s">
        <v>99</v>
      </c>
      <c r="J265" t="s">
        <v>87</v>
      </c>
      <c r="K265" t="s">
        <v>213</v>
      </c>
      <c r="L265" t="s">
        <v>42</v>
      </c>
      <c r="M265" s="2">
        <v>1088.9932664518401</v>
      </c>
      <c r="N265" s="2">
        <v>0</v>
      </c>
      <c r="O265" t="s">
        <v>62</v>
      </c>
      <c r="P265">
        <v>2</v>
      </c>
      <c r="Q265" t="s">
        <v>55</v>
      </c>
      <c r="R265" t="s">
        <v>32</v>
      </c>
      <c r="S265" s="2">
        <v>-25.440389621050102</v>
      </c>
      <c r="T265" s="2">
        <v>13.524119124650101</v>
      </c>
      <c r="U265" t="str">
        <f>_xlfn.IFS(Table13[[#This Row],[Risk_Score]]&gt;80,"High",AND(Table13[[#This Row],[Risk_Score]]&lt;=80,Table13[[#This Row],[Risk_Score]]&gt;45),"Normal",Table13[[#This Row],[Risk_Score]]&lt;=45,"Low")</f>
        <v>Low</v>
      </c>
      <c r="V265" s="7">
        <f t="shared" si="4"/>
        <v>1088.9932664518401</v>
      </c>
    </row>
    <row r="266" spans="1:22">
      <c r="A266" t="s">
        <v>1007</v>
      </c>
      <c r="B266" t="s">
        <v>883</v>
      </c>
      <c r="C266" t="s">
        <v>22</v>
      </c>
      <c r="D266" s="2">
        <v>43943.592857134601</v>
      </c>
      <c r="E266" s="4">
        <v>45853</v>
      </c>
      <c r="F266" t="s">
        <v>1008</v>
      </c>
      <c r="G266" t="s">
        <v>24</v>
      </c>
      <c r="H266" t="s">
        <v>25</v>
      </c>
      <c r="I266" t="s">
        <v>75</v>
      </c>
      <c r="J266" t="s">
        <v>87</v>
      </c>
      <c r="K266" t="s">
        <v>1009</v>
      </c>
      <c r="L266" t="s">
        <v>29</v>
      </c>
      <c r="M266" s="2">
        <v>4229.3585775542897</v>
      </c>
      <c r="N266" s="2">
        <v>0</v>
      </c>
      <c r="O266" t="s">
        <v>62</v>
      </c>
      <c r="P266">
        <v>3</v>
      </c>
      <c r="Q266" t="s">
        <v>31</v>
      </c>
      <c r="R266" t="s">
        <v>133</v>
      </c>
      <c r="S266" s="2">
        <v>16.241518245613999</v>
      </c>
      <c r="T266" s="2">
        <v>61.509128736998797</v>
      </c>
      <c r="U266" t="str">
        <f>_xlfn.IFS(Table13[[#This Row],[Risk_Score]]&gt;80,"High",AND(Table13[[#This Row],[Risk_Score]]&lt;=80,Table13[[#This Row],[Risk_Score]]&gt;45),"Normal",Table13[[#This Row],[Risk_Score]]&lt;=45,"Low")</f>
        <v>Normal</v>
      </c>
      <c r="V266" s="7">
        <f t="shared" si="4"/>
        <v>4229.3585775542897</v>
      </c>
    </row>
    <row r="267" spans="1:22">
      <c r="A267" t="s">
        <v>1010</v>
      </c>
      <c r="B267" t="s">
        <v>763</v>
      </c>
      <c r="C267" t="s">
        <v>22</v>
      </c>
      <c r="D267" s="2">
        <v>25810.279137724101</v>
      </c>
      <c r="E267" s="4">
        <v>45855</v>
      </c>
      <c r="F267" t="s">
        <v>1011</v>
      </c>
      <c r="G267" t="s">
        <v>59</v>
      </c>
      <c r="H267" t="s">
        <v>1762</v>
      </c>
      <c r="I267" t="s">
        <v>99</v>
      </c>
      <c r="J267" t="s">
        <v>87</v>
      </c>
      <c r="K267" t="s">
        <v>1012</v>
      </c>
      <c r="L267" t="s">
        <v>81</v>
      </c>
      <c r="M267" s="2">
        <v>3429.1303949687799</v>
      </c>
      <c r="N267" s="2">
        <v>0</v>
      </c>
      <c r="O267" t="s">
        <v>62</v>
      </c>
      <c r="P267">
        <v>4</v>
      </c>
      <c r="Q267" t="s">
        <v>95</v>
      </c>
      <c r="R267" t="s">
        <v>45</v>
      </c>
      <c r="S267" s="2">
        <v>-15.6444682349122</v>
      </c>
      <c r="T267" s="2">
        <v>89.046957398388997</v>
      </c>
      <c r="U267" t="str">
        <f>_xlfn.IFS(Table13[[#This Row],[Risk_Score]]&gt;80,"High",AND(Table13[[#This Row],[Risk_Score]]&lt;=80,Table13[[#This Row],[Risk_Score]]&gt;45),"Normal",Table13[[#This Row],[Risk_Score]]&lt;=45,"Low")</f>
        <v>High</v>
      </c>
      <c r="V267" s="7">
        <f t="shared" si="4"/>
        <v>3429.1303949687799</v>
      </c>
    </row>
    <row r="268" spans="1:22">
      <c r="A268" t="s">
        <v>1013</v>
      </c>
      <c r="B268" t="s">
        <v>1014</v>
      </c>
      <c r="C268" t="s">
        <v>35</v>
      </c>
      <c r="D268" s="2">
        <v>17863.975065172101</v>
      </c>
      <c r="E268" s="4">
        <v>45856</v>
      </c>
      <c r="F268" t="s">
        <v>1015</v>
      </c>
      <c r="G268" t="s">
        <v>68</v>
      </c>
      <c r="H268" t="s">
        <v>38</v>
      </c>
      <c r="I268" t="s">
        <v>99</v>
      </c>
      <c r="J268" t="s">
        <v>87</v>
      </c>
      <c r="K268" t="s">
        <v>1016</v>
      </c>
      <c r="L268" t="s">
        <v>42</v>
      </c>
      <c r="M268" s="2">
        <v>3251.84428318559</v>
      </c>
      <c r="N268" s="2">
        <v>0</v>
      </c>
      <c r="O268" t="s">
        <v>54</v>
      </c>
      <c r="P268">
        <v>1</v>
      </c>
      <c r="Q268" t="s">
        <v>31</v>
      </c>
      <c r="R268" t="s">
        <v>133</v>
      </c>
      <c r="S268" s="2">
        <v>21.872480494925</v>
      </c>
      <c r="T268" s="2">
        <v>84.182536436526306</v>
      </c>
      <c r="U268" t="str">
        <f>_xlfn.IFS(Table13[[#This Row],[Risk_Score]]&gt;80,"High",AND(Table13[[#This Row],[Risk_Score]]&lt;=80,Table13[[#This Row],[Risk_Score]]&gt;45),"Normal",Table13[[#This Row],[Risk_Score]]&lt;=45,"Low")</f>
        <v>High</v>
      </c>
      <c r="V268" s="7">
        <f t="shared" si="4"/>
        <v>3251.84428318559</v>
      </c>
    </row>
    <row r="269" spans="1:22">
      <c r="A269" t="s">
        <v>1017</v>
      </c>
      <c r="B269" t="s">
        <v>549</v>
      </c>
      <c r="C269" t="s">
        <v>35</v>
      </c>
      <c r="D269" s="2">
        <v>24070.467085131098</v>
      </c>
      <c r="E269" s="4">
        <v>45856</v>
      </c>
      <c r="F269" t="s">
        <v>1018</v>
      </c>
      <c r="G269" t="s">
        <v>181</v>
      </c>
      <c r="H269" t="s">
        <v>38</v>
      </c>
      <c r="I269" t="s">
        <v>99</v>
      </c>
      <c r="J269" t="s">
        <v>60</v>
      </c>
      <c r="K269" t="s">
        <v>1019</v>
      </c>
      <c r="L269" t="s">
        <v>81</v>
      </c>
      <c r="M269" s="2">
        <v>143.779746703055</v>
      </c>
      <c r="N269" s="2">
        <v>0</v>
      </c>
      <c r="O269" t="s">
        <v>43</v>
      </c>
      <c r="P269">
        <v>4</v>
      </c>
      <c r="Q269" t="s">
        <v>31</v>
      </c>
      <c r="R269" t="s">
        <v>45</v>
      </c>
      <c r="S269" s="2">
        <v>-16.7129465176053</v>
      </c>
      <c r="T269" s="2">
        <v>29.803933209445098</v>
      </c>
      <c r="U269" t="str">
        <f>_xlfn.IFS(Table13[[#This Row],[Risk_Score]]&gt;80,"High",AND(Table13[[#This Row],[Risk_Score]]&lt;=80,Table13[[#This Row],[Risk_Score]]&gt;45),"Normal",Table13[[#This Row],[Risk_Score]]&lt;=45,"Low")</f>
        <v>Low</v>
      </c>
      <c r="V269" s="7">
        <f t="shared" si="4"/>
        <v>143.779746703055</v>
      </c>
    </row>
    <row r="270" spans="1:22">
      <c r="A270" t="s">
        <v>1020</v>
      </c>
      <c r="B270" t="s">
        <v>799</v>
      </c>
      <c r="C270" t="s">
        <v>85</v>
      </c>
      <c r="D270" s="2">
        <v>45646.198197668498</v>
      </c>
      <c r="E270" s="4">
        <v>45856</v>
      </c>
      <c r="F270" t="s">
        <v>1021</v>
      </c>
      <c r="G270" t="s">
        <v>37</v>
      </c>
      <c r="H270" t="s">
        <v>38</v>
      </c>
      <c r="I270" t="s">
        <v>51</v>
      </c>
      <c r="J270" t="s">
        <v>60</v>
      </c>
      <c r="K270" t="s">
        <v>1022</v>
      </c>
      <c r="L270" t="s">
        <v>120</v>
      </c>
      <c r="M270" s="2">
        <v>4840.3269829268902</v>
      </c>
      <c r="N270" s="2">
        <v>0</v>
      </c>
      <c r="O270" t="s">
        <v>54</v>
      </c>
      <c r="P270">
        <v>0</v>
      </c>
      <c r="Q270" t="s">
        <v>44</v>
      </c>
      <c r="R270" t="s">
        <v>45</v>
      </c>
      <c r="S270" s="2">
        <v>-28.547637334648201</v>
      </c>
      <c r="T270" s="2">
        <v>94.496706364007593</v>
      </c>
      <c r="U270" t="str">
        <f>_xlfn.IFS(Table13[[#This Row],[Risk_Score]]&gt;80,"High",AND(Table13[[#This Row],[Risk_Score]]&lt;=80,Table13[[#This Row],[Risk_Score]]&gt;45),"Normal",Table13[[#This Row],[Risk_Score]]&lt;=45,"Low")</f>
        <v>High</v>
      </c>
      <c r="V270" s="7">
        <f t="shared" si="4"/>
        <v>4840.3269829268902</v>
      </c>
    </row>
    <row r="271" spans="1:22">
      <c r="A271" t="s">
        <v>1023</v>
      </c>
      <c r="B271" t="s">
        <v>566</v>
      </c>
      <c r="C271" t="s">
        <v>48</v>
      </c>
      <c r="D271" s="2">
        <v>4607.8143328226297</v>
      </c>
      <c r="E271" s="4">
        <v>45859</v>
      </c>
      <c r="F271" t="s">
        <v>1024</v>
      </c>
      <c r="G271" t="s">
        <v>141</v>
      </c>
      <c r="H271" t="s">
        <v>25</v>
      </c>
      <c r="I271" t="s">
        <v>51</v>
      </c>
      <c r="J271" t="s">
        <v>60</v>
      </c>
      <c r="K271" t="s">
        <v>1025</v>
      </c>
      <c r="L271" t="s">
        <v>155</v>
      </c>
      <c r="M271" s="2">
        <v>2799.7115368396699</v>
      </c>
      <c r="N271" s="2">
        <v>0</v>
      </c>
      <c r="O271" t="s">
        <v>43</v>
      </c>
      <c r="P271">
        <v>3</v>
      </c>
      <c r="Q271" t="s">
        <v>95</v>
      </c>
      <c r="R271" t="s">
        <v>45</v>
      </c>
      <c r="S271" s="2">
        <v>0</v>
      </c>
      <c r="T271" s="2">
        <v>80.326340062712802</v>
      </c>
      <c r="U271" t="str">
        <f>_xlfn.IFS(Table13[[#This Row],[Risk_Score]]&gt;80,"High",AND(Table13[[#This Row],[Risk_Score]]&lt;=80,Table13[[#This Row],[Risk_Score]]&gt;45),"Normal",Table13[[#This Row],[Risk_Score]]&lt;=45,"Low")</f>
        <v>High</v>
      </c>
      <c r="V271" s="7">
        <f t="shared" si="4"/>
        <v>2799.7115368396699</v>
      </c>
    </row>
    <row r="272" spans="1:22">
      <c r="A272" t="s">
        <v>1026</v>
      </c>
      <c r="B272" t="s">
        <v>47</v>
      </c>
      <c r="C272" t="s">
        <v>22</v>
      </c>
      <c r="D272" s="2">
        <v>29792.944087051001</v>
      </c>
      <c r="E272" s="4">
        <v>45859</v>
      </c>
      <c r="F272" t="s">
        <v>1027</v>
      </c>
      <c r="G272" t="s">
        <v>68</v>
      </c>
      <c r="H272" t="s">
        <v>25</v>
      </c>
      <c r="I272" t="s">
        <v>99</v>
      </c>
      <c r="J272" t="s">
        <v>87</v>
      </c>
      <c r="K272" t="s">
        <v>1028</v>
      </c>
      <c r="L272" t="s">
        <v>53</v>
      </c>
      <c r="M272" s="2">
        <v>319.83404081724001</v>
      </c>
      <c r="N272" s="2">
        <v>418.1892887052</v>
      </c>
      <c r="O272" t="s">
        <v>54</v>
      </c>
      <c r="P272">
        <v>2</v>
      </c>
      <c r="Q272" t="s">
        <v>44</v>
      </c>
      <c r="R272" t="s">
        <v>32</v>
      </c>
      <c r="S272" s="2">
        <v>-27.889522108104199</v>
      </c>
      <c r="T272" s="2">
        <v>88.884251173853201</v>
      </c>
      <c r="U272" t="str">
        <f>_xlfn.IFS(Table13[[#This Row],[Risk_Score]]&gt;80,"High",AND(Table13[[#This Row],[Risk_Score]]&lt;=80,Table13[[#This Row],[Risk_Score]]&gt;45),"Normal",Table13[[#This Row],[Risk_Score]]&lt;=45,"Low")</f>
        <v>High</v>
      </c>
      <c r="V272" s="7">
        <f t="shared" si="4"/>
        <v>0</v>
      </c>
    </row>
    <row r="273" spans="1:22">
      <c r="A273" t="s">
        <v>1029</v>
      </c>
      <c r="B273" t="s">
        <v>1030</v>
      </c>
      <c r="C273" t="s">
        <v>35</v>
      </c>
      <c r="D273" s="2">
        <v>30237.497816418399</v>
      </c>
      <c r="E273" s="4">
        <v>45861</v>
      </c>
      <c r="F273" t="s">
        <v>1031</v>
      </c>
      <c r="G273" t="s">
        <v>92</v>
      </c>
      <c r="H273" t="s">
        <v>38</v>
      </c>
      <c r="I273" t="s">
        <v>75</v>
      </c>
      <c r="J273" t="s">
        <v>60</v>
      </c>
      <c r="K273" t="s">
        <v>115</v>
      </c>
      <c r="L273" t="s">
        <v>81</v>
      </c>
      <c r="M273" s="2">
        <v>622.01396456912698</v>
      </c>
      <c r="N273" s="2">
        <v>0</v>
      </c>
      <c r="O273" t="s">
        <v>43</v>
      </c>
      <c r="P273">
        <v>3</v>
      </c>
      <c r="Q273" t="s">
        <v>44</v>
      </c>
      <c r="R273" t="s">
        <v>45</v>
      </c>
      <c r="S273" s="2">
        <v>-24.128579837013</v>
      </c>
      <c r="T273" s="2">
        <v>39.238210093272102</v>
      </c>
      <c r="U273" t="str">
        <f>_xlfn.IFS(Table13[[#This Row],[Risk_Score]]&gt;80,"High",AND(Table13[[#This Row],[Risk_Score]]&lt;=80,Table13[[#This Row],[Risk_Score]]&gt;45),"Normal",Table13[[#This Row],[Risk_Score]]&lt;=45,"Low")</f>
        <v>Low</v>
      </c>
      <c r="V273" s="7">
        <f t="shared" si="4"/>
        <v>622.01396456912698</v>
      </c>
    </row>
    <row r="274" spans="1:22">
      <c r="A274" t="s">
        <v>1032</v>
      </c>
      <c r="B274" t="s">
        <v>1033</v>
      </c>
      <c r="C274" t="s">
        <v>85</v>
      </c>
      <c r="D274" s="2">
        <v>41549.659877605998</v>
      </c>
      <c r="E274" s="4">
        <v>45861</v>
      </c>
      <c r="F274" t="s">
        <v>1034</v>
      </c>
      <c r="G274" t="s">
        <v>141</v>
      </c>
      <c r="H274" t="s">
        <v>38</v>
      </c>
      <c r="I274" t="s">
        <v>99</v>
      </c>
      <c r="J274" t="s">
        <v>87</v>
      </c>
      <c r="K274" t="s">
        <v>1035</v>
      </c>
      <c r="L274" t="s">
        <v>42</v>
      </c>
      <c r="M274" s="2">
        <v>359.40936047653298</v>
      </c>
      <c r="N274" s="2">
        <v>0</v>
      </c>
      <c r="O274" t="s">
        <v>43</v>
      </c>
      <c r="P274">
        <v>0</v>
      </c>
      <c r="Q274" t="s">
        <v>44</v>
      </c>
      <c r="R274" t="s">
        <v>133</v>
      </c>
      <c r="S274" s="2">
        <v>19.980372912065199</v>
      </c>
      <c r="T274" s="2">
        <v>60.413062885653503</v>
      </c>
      <c r="U274" t="str">
        <f>_xlfn.IFS(Table13[[#This Row],[Risk_Score]]&gt;80,"High",AND(Table13[[#This Row],[Risk_Score]]&lt;=80,Table13[[#This Row],[Risk_Score]]&gt;45),"Normal",Table13[[#This Row],[Risk_Score]]&lt;=45,"Low")</f>
        <v>Normal</v>
      </c>
      <c r="V274" s="7">
        <f t="shared" si="4"/>
        <v>359.40936047653298</v>
      </c>
    </row>
    <row r="275" spans="1:22">
      <c r="A275" t="s">
        <v>1036</v>
      </c>
      <c r="B275" t="s">
        <v>1037</v>
      </c>
      <c r="C275" t="s">
        <v>48</v>
      </c>
      <c r="D275" s="2">
        <v>17534.411252561698</v>
      </c>
      <c r="E275" s="4">
        <v>45862</v>
      </c>
      <c r="F275" t="s">
        <v>1038</v>
      </c>
      <c r="G275" t="s">
        <v>59</v>
      </c>
      <c r="H275" t="s">
        <v>1762</v>
      </c>
      <c r="I275" t="s">
        <v>26</v>
      </c>
      <c r="J275" t="s">
        <v>60</v>
      </c>
      <c r="K275" t="s">
        <v>1039</v>
      </c>
      <c r="L275" t="s">
        <v>120</v>
      </c>
      <c r="M275" s="2">
        <v>1050.63952616509</v>
      </c>
      <c r="N275" s="2">
        <v>56.251565263315896</v>
      </c>
      <c r="O275" t="s">
        <v>62</v>
      </c>
      <c r="P275">
        <v>3</v>
      </c>
      <c r="Q275" t="s">
        <v>31</v>
      </c>
      <c r="R275" t="s">
        <v>133</v>
      </c>
      <c r="S275" s="2">
        <v>-24.6287881921895</v>
      </c>
      <c r="T275" s="2">
        <v>80.567537904270395</v>
      </c>
      <c r="U275" t="str">
        <f>_xlfn.IFS(Table13[[#This Row],[Risk_Score]]&gt;80,"High",AND(Table13[[#This Row],[Risk_Score]]&lt;=80,Table13[[#This Row],[Risk_Score]]&gt;45),"Normal",Table13[[#This Row],[Risk_Score]]&lt;=45,"Low")</f>
        <v>High</v>
      </c>
      <c r="V275" s="7">
        <f t="shared" si="4"/>
        <v>994.38796090177402</v>
      </c>
    </row>
    <row r="276" spans="1:22">
      <c r="A276" t="s">
        <v>1040</v>
      </c>
      <c r="B276" t="s">
        <v>21</v>
      </c>
      <c r="C276" t="s">
        <v>48</v>
      </c>
      <c r="D276" s="2">
        <v>10712.7711386272</v>
      </c>
      <c r="E276" s="4">
        <v>45863</v>
      </c>
      <c r="F276" t="s">
        <v>1041</v>
      </c>
      <c r="G276" t="s">
        <v>163</v>
      </c>
      <c r="H276" t="s">
        <v>25</v>
      </c>
      <c r="I276" t="s">
        <v>26</v>
      </c>
      <c r="J276" t="s">
        <v>87</v>
      </c>
      <c r="K276" t="s">
        <v>1042</v>
      </c>
      <c r="L276" t="s">
        <v>120</v>
      </c>
      <c r="M276" s="2">
        <v>2382.9759591419001</v>
      </c>
      <c r="N276" s="2">
        <v>0</v>
      </c>
      <c r="O276" t="s">
        <v>54</v>
      </c>
      <c r="P276">
        <v>3</v>
      </c>
      <c r="Q276" t="s">
        <v>55</v>
      </c>
      <c r="R276" t="s">
        <v>32</v>
      </c>
      <c r="S276" s="2">
        <v>-22.285225289299799</v>
      </c>
      <c r="T276" s="2">
        <v>98.268004872243395</v>
      </c>
      <c r="U276" t="str">
        <f>_xlfn.IFS(Table13[[#This Row],[Risk_Score]]&gt;80,"High",AND(Table13[[#This Row],[Risk_Score]]&lt;=80,Table13[[#This Row],[Risk_Score]]&gt;45),"Normal",Table13[[#This Row],[Risk_Score]]&lt;=45,"Low")</f>
        <v>High</v>
      </c>
      <c r="V276" s="7">
        <f t="shared" si="4"/>
        <v>2382.9759591419001</v>
      </c>
    </row>
    <row r="277" spans="1:22">
      <c r="A277" t="s">
        <v>1043</v>
      </c>
      <c r="B277" t="s">
        <v>854</v>
      </c>
      <c r="C277" t="s">
        <v>22</v>
      </c>
      <c r="D277" s="2">
        <v>37550.046045789197</v>
      </c>
      <c r="E277" s="4">
        <v>45863</v>
      </c>
      <c r="F277" t="s">
        <v>1044</v>
      </c>
      <c r="G277" t="s">
        <v>92</v>
      </c>
      <c r="H277" t="s">
        <v>25</v>
      </c>
      <c r="I277" t="s">
        <v>51</v>
      </c>
      <c r="J277" t="s">
        <v>60</v>
      </c>
      <c r="K277" t="s">
        <v>1045</v>
      </c>
      <c r="L277" t="s">
        <v>53</v>
      </c>
      <c r="M277" s="2">
        <v>2696.57156922384</v>
      </c>
      <c r="N277" s="2">
        <v>0</v>
      </c>
      <c r="O277" t="s">
        <v>54</v>
      </c>
      <c r="P277">
        <v>1</v>
      </c>
      <c r="Q277" t="s">
        <v>31</v>
      </c>
      <c r="R277" t="s">
        <v>45</v>
      </c>
      <c r="S277" s="2">
        <v>1.6497566734956901</v>
      </c>
      <c r="T277" s="2">
        <v>28.6815747207031</v>
      </c>
      <c r="U277" t="str">
        <f>_xlfn.IFS(Table13[[#This Row],[Risk_Score]]&gt;80,"High",AND(Table13[[#This Row],[Risk_Score]]&lt;=80,Table13[[#This Row],[Risk_Score]]&gt;45),"Normal",Table13[[#This Row],[Risk_Score]]&lt;=45,"Low")</f>
        <v>Low</v>
      </c>
      <c r="V277" s="7">
        <f t="shared" si="4"/>
        <v>2696.57156922384</v>
      </c>
    </row>
    <row r="278" spans="1:22">
      <c r="A278" t="s">
        <v>1046</v>
      </c>
      <c r="B278" t="s">
        <v>1047</v>
      </c>
      <c r="C278" t="s">
        <v>22</v>
      </c>
      <c r="D278" s="2">
        <v>21915.950478226401</v>
      </c>
      <c r="E278" s="4">
        <v>45864</v>
      </c>
      <c r="F278" t="s">
        <v>1048</v>
      </c>
      <c r="G278" t="s">
        <v>163</v>
      </c>
      <c r="H278" t="s">
        <v>25</v>
      </c>
      <c r="I278" t="s">
        <v>75</v>
      </c>
      <c r="J278" t="s">
        <v>87</v>
      </c>
      <c r="K278" t="s">
        <v>1049</v>
      </c>
      <c r="L278" t="s">
        <v>53</v>
      </c>
      <c r="M278" s="2">
        <v>467.108612471463</v>
      </c>
      <c r="N278" s="2">
        <v>0</v>
      </c>
      <c r="O278" t="s">
        <v>62</v>
      </c>
      <c r="P278">
        <v>1</v>
      </c>
      <c r="Q278" t="s">
        <v>55</v>
      </c>
      <c r="R278" t="s">
        <v>133</v>
      </c>
      <c r="S278" s="2">
        <v>13.2695560928326</v>
      </c>
      <c r="T278" s="2">
        <v>24.985379607833</v>
      </c>
      <c r="U278" t="str">
        <f>_xlfn.IFS(Table13[[#This Row],[Risk_Score]]&gt;80,"High",AND(Table13[[#This Row],[Risk_Score]]&lt;=80,Table13[[#This Row],[Risk_Score]]&gt;45),"Normal",Table13[[#This Row],[Risk_Score]]&lt;=45,"Low")</f>
        <v>Low</v>
      </c>
      <c r="V278" s="7">
        <f t="shared" si="4"/>
        <v>467.108612471463</v>
      </c>
    </row>
    <row r="279" spans="1:22">
      <c r="A279" t="s">
        <v>1050</v>
      </c>
      <c r="B279" t="s">
        <v>656</v>
      </c>
      <c r="C279" t="s">
        <v>48</v>
      </c>
      <c r="D279" s="2">
        <v>10358.432437944301</v>
      </c>
      <c r="E279" s="4">
        <v>45865</v>
      </c>
      <c r="F279" t="s">
        <v>1051</v>
      </c>
      <c r="G279" t="s">
        <v>59</v>
      </c>
      <c r="H279" t="s">
        <v>25</v>
      </c>
      <c r="I279" t="s">
        <v>99</v>
      </c>
      <c r="J279" t="s">
        <v>60</v>
      </c>
      <c r="K279" t="s">
        <v>1052</v>
      </c>
      <c r="L279" t="s">
        <v>53</v>
      </c>
      <c r="M279" s="2">
        <v>3497.9789406130299</v>
      </c>
      <c r="N279" s="2">
        <v>0</v>
      </c>
      <c r="O279" t="s">
        <v>62</v>
      </c>
      <c r="P279">
        <v>3</v>
      </c>
      <c r="Q279" t="s">
        <v>44</v>
      </c>
      <c r="R279" t="s">
        <v>133</v>
      </c>
      <c r="S279" s="2">
        <v>-20.183494749377299</v>
      </c>
      <c r="T279" s="2">
        <v>1.5447427733077901</v>
      </c>
      <c r="U279" t="str">
        <f>_xlfn.IFS(Table13[[#This Row],[Risk_Score]]&gt;80,"High",AND(Table13[[#This Row],[Risk_Score]]&lt;=80,Table13[[#This Row],[Risk_Score]]&gt;45),"Normal",Table13[[#This Row],[Risk_Score]]&lt;=45,"Low")</f>
        <v>Low</v>
      </c>
      <c r="V279" s="7">
        <f t="shared" si="4"/>
        <v>3497.9789406130299</v>
      </c>
    </row>
    <row r="280" spans="1:22">
      <c r="A280" t="s">
        <v>1053</v>
      </c>
      <c r="B280" t="s">
        <v>1054</v>
      </c>
      <c r="C280" t="s">
        <v>48</v>
      </c>
      <c r="D280" s="2">
        <v>9187.1462271969995</v>
      </c>
      <c r="E280" s="4">
        <v>45865</v>
      </c>
      <c r="F280" t="s">
        <v>1055</v>
      </c>
      <c r="G280" t="s">
        <v>163</v>
      </c>
      <c r="H280" t="s">
        <v>38</v>
      </c>
      <c r="I280" t="s">
        <v>51</v>
      </c>
      <c r="J280" t="s">
        <v>87</v>
      </c>
      <c r="K280" t="s">
        <v>1056</v>
      </c>
      <c r="L280" t="s">
        <v>81</v>
      </c>
      <c r="M280" s="2">
        <v>1933.38533319053</v>
      </c>
      <c r="N280" s="2">
        <v>234.51246985894201</v>
      </c>
      <c r="O280" t="s">
        <v>43</v>
      </c>
      <c r="P280">
        <v>3</v>
      </c>
      <c r="Q280" t="s">
        <v>31</v>
      </c>
      <c r="R280" t="s">
        <v>45</v>
      </c>
      <c r="S280" s="2">
        <v>-24.294381137356201</v>
      </c>
      <c r="T280" s="2">
        <v>80.472598374143104</v>
      </c>
      <c r="U280" t="str">
        <f>_xlfn.IFS(Table13[[#This Row],[Risk_Score]]&gt;80,"High",AND(Table13[[#This Row],[Risk_Score]]&lt;=80,Table13[[#This Row],[Risk_Score]]&gt;45),"Normal",Table13[[#This Row],[Risk_Score]]&lt;=45,"Low")</f>
        <v>High</v>
      </c>
      <c r="V280" s="7">
        <f t="shared" si="4"/>
        <v>1698.87286333159</v>
      </c>
    </row>
    <row r="281" spans="1:22">
      <c r="A281" t="s">
        <v>1057</v>
      </c>
      <c r="B281" t="s">
        <v>629</v>
      </c>
      <c r="C281" t="s">
        <v>48</v>
      </c>
      <c r="D281" s="2">
        <v>23464.768239224799</v>
      </c>
      <c r="E281" s="4">
        <v>45866</v>
      </c>
      <c r="F281" t="s">
        <v>1058</v>
      </c>
      <c r="G281" t="s">
        <v>59</v>
      </c>
      <c r="H281" t="s">
        <v>38</v>
      </c>
      <c r="I281" t="s">
        <v>26</v>
      </c>
      <c r="J281" t="s">
        <v>87</v>
      </c>
      <c r="K281" t="s">
        <v>1059</v>
      </c>
      <c r="L281" t="s">
        <v>81</v>
      </c>
      <c r="M281" s="2">
        <v>2750.17718544944</v>
      </c>
      <c r="N281" s="2">
        <v>0</v>
      </c>
      <c r="O281" t="s">
        <v>62</v>
      </c>
      <c r="P281">
        <v>4</v>
      </c>
      <c r="Q281" t="s">
        <v>44</v>
      </c>
      <c r="R281" t="s">
        <v>32</v>
      </c>
      <c r="S281" s="2">
        <v>-3.9733035355707802</v>
      </c>
      <c r="T281" s="2">
        <v>66.918365219914307</v>
      </c>
      <c r="U281" t="str">
        <f>_xlfn.IFS(Table13[[#This Row],[Risk_Score]]&gt;80,"High",AND(Table13[[#This Row],[Risk_Score]]&lt;=80,Table13[[#This Row],[Risk_Score]]&gt;45),"Normal",Table13[[#This Row],[Risk_Score]]&lt;=45,"Low")</f>
        <v>Normal</v>
      </c>
      <c r="V281" s="7">
        <f t="shared" si="4"/>
        <v>2750.17718544944</v>
      </c>
    </row>
    <row r="282" spans="1:22">
      <c r="A282" t="s">
        <v>1060</v>
      </c>
      <c r="B282" t="s">
        <v>949</v>
      </c>
      <c r="C282" t="s">
        <v>22</v>
      </c>
      <c r="D282" s="2">
        <v>24749.676207830002</v>
      </c>
      <c r="E282" s="4">
        <v>45867</v>
      </c>
      <c r="F282" t="s">
        <v>1061</v>
      </c>
      <c r="G282" t="s">
        <v>92</v>
      </c>
      <c r="H282" t="s">
        <v>25</v>
      </c>
      <c r="I282" t="s">
        <v>51</v>
      </c>
      <c r="J282" t="s">
        <v>60</v>
      </c>
      <c r="K282" t="s">
        <v>1062</v>
      </c>
      <c r="L282" t="s">
        <v>53</v>
      </c>
      <c r="M282" s="2">
        <v>2408.8060306195698</v>
      </c>
      <c r="N282" s="2">
        <v>0</v>
      </c>
      <c r="O282" t="s">
        <v>62</v>
      </c>
      <c r="P282">
        <v>4</v>
      </c>
      <c r="Q282" t="s">
        <v>44</v>
      </c>
      <c r="R282" t="s">
        <v>32</v>
      </c>
      <c r="S282" s="2">
        <v>-5.8397275047601296</v>
      </c>
      <c r="T282" s="2">
        <v>71.526708250924401</v>
      </c>
      <c r="U282" t="str">
        <f>_xlfn.IFS(Table13[[#This Row],[Risk_Score]]&gt;80,"High",AND(Table13[[#This Row],[Risk_Score]]&lt;=80,Table13[[#This Row],[Risk_Score]]&gt;45),"Normal",Table13[[#This Row],[Risk_Score]]&lt;=45,"Low")</f>
        <v>Normal</v>
      </c>
      <c r="V282" s="7">
        <f t="shared" si="4"/>
        <v>2408.8060306195698</v>
      </c>
    </row>
    <row r="283" spans="1:22">
      <c r="A283" t="s">
        <v>1063</v>
      </c>
      <c r="B283" t="s">
        <v>1064</v>
      </c>
      <c r="C283" t="s">
        <v>85</v>
      </c>
      <c r="D283" s="2">
        <v>15458.0842645754</v>
      </c>
      <c r="E283" s="4">
        <v>45867</v>
      </c>
      <c r="F283" t="s">
        <v>1065</v>
      </c>
      <c r="G283" t="s">
        <v>24</v>
      </c>
      <c r="H283" t="s">
        <v>1762</v>
      </c>
      <c r="I283" t="s">
        <v>99</v>
      </c>
      <c r="J283" t="s">
        <v>87</v>
      </c>
      <c r="K283" t="s">
        <v>1066</v>
      </c>
      <c r="L283" t="s">
        <v>155</v>
      </c>
      <c r="M283" s="2">
        <v>3644.25073375595</v>
      </c>
      <c r="N283" s="2">
        <v>0</v>
      </c>
      <c r="O283" t="s">
        <v>62</v>
      </c>
      <c r="P283">
        <v>4</v>
      </c>
      <c r="Q283" t="s">
        <v>63</v>
      </c>
      <c r="R283" t="s">
        <v>133</v>
      </c>
      <c r="S283" s="2">
        <v>9.8460402688734607</v>
      </c>
      <c r="T283" s="2">
        <v>77.156972605582595</v>
      </c>
      <c r="U283" t="str">
        <f>_xlfn.IFS(Table13[[#This Row],[Risk_Score]]&gt;80,"High",AND(Table13[[#This Row],[Risk_Score]]&lt;=80,Table13[[#This Row],[Risk_Score]]&gt;45),"Normal",Table13[[#This Row],[Risk_Score]]&lt;=45,"Low")</f>
        <v>Normal</v>
      </c>
      <c r="V283" s="7">
        <f t="shared" si="4"/>
        <v>3644.25073375595</v>
      </c>
    </row>
    <row r="284" spans="1:22">
      <c r="A284" t="s">
        <v>1067</v>
      </c>
      <c r="B284" t="s">
        <v>1068</v>
      </c>
      <c r="C284" t="s">
        <v>85</v>
      </c>
      <c r="D284" s="2">
        <v>28707.389471152099</v>
      </c>
      <c r="E284" s="4">
        <v>45868</v>
      </c>
      <c r="F284" t="s">
        <v>1069</v>
      </c>
      <c r="G284" t="s">
        <v>141</v>
      </c>
      <c r="H284" t="s">
        <v>25</v>
      </c>
      <c r="I284" t="s">
        <v>75</v>
      </c>
      <c r="J284" t="s">
        <v>87</v>
      </c>
      <c r="K284" t="s">
        <v>1070</v>
      </c>
      <c r="L284" t="s">
        <v>155</v>
      </c>
      <c r="M284" s="2">
        <v>2602.5989278315101</v>
      </c>
      <c r="N284" s="2">
        <v>357.66115526456798</v>
      </c>
      <c r="O284" t="s">
        <v>43</v>
      </c>
      <c r="P284">
        <v>0</v>
      </c>
      <c r="Q284" t="s">
        <v>1763</v>
      </c>
      <c r="R284" t="s">
        <v>32</v>
      </c>
      <c r="S284" s="2">
        <v>3.6886766242006099</v>
      </c>
      <c r="T284" s="2">
        <v>67.400735646271102</v>
      </c>
      <c r="U284" t="str">
        <f>_xlfn.IFS(Table13[[#This Row],[Risk_Score]]&gt;80,"High",AND(Table13[[#This Row],[Risk_Score]]&lt;=80,Table13[[#This Row],[Risk_Score]]&gt;45),"Normal",Table13[[#This Row],[Risk_Score]]&lt;=45,"Low")</f>
        <v>Normal</v>
      </c>
      <c r="V284" s="7">
        <f t="shared" si="4"/>
        <v>2244.9377725669401</v>
      </c>
    </row>
    <row r="285" spans="1:22">
      <c r="A285" t="s">
        <v>1071</v>
      </c>
      <c r="B285" t="s">
        <v>782</v>
      </c>
      <c r="C285" t="s">
        <v>22</v>
      </c>
      <c r="D285" s="2">
        <v>19892.803715297501</v>
      </c>
      <c r="E285" s="4">
        <v>45870</v>
      </c>
      <c r="F285" t="s">
        <v>1072</v>
      </c>
      <c r="G285" t="s">
        <v>163</v>
      </c>
      <c r="H285" t="s">
        <v>25</v>
      </c>
      <c r="I285" t="s">
        <v>51</v>
      </c>
      <c r="J285" t="s">
        <v>60</v>
      </c>
      <c r="K285" t="s">
        <v>1073</v>
      </c>
      <c r="L285" t="s">
        <v>29</v>
      </c>
      <c r="M285" s="2">
        <v>3712.3457416719998</v>
      </c>
      <c r="N285" s="2">
        <v>298.84116776172903</v>
      </c>
      <c r="O285" t="s">
        <v>62</v>
      </c>
      <c r="P285">
        <v>0</v>
      </c>
      <c r="Q285" t="s">
        <v>55</v>
      </c>
      <c r="R285" t="s">
        <v>32</v>
      </c>
      <c r="S285" s="2">
        <v>13.403681331295701</v>
      </c>
      <c r="T285" s="2">
        <v>21.356730033619201</v>
      </c>
      <c r="U285" t="str">
        <f>_xlfn.IFS(Table13[[#This Row],[Risk_Score]]&gt;80,"High",AND(Table13[[#This Row],[Risk_Score]]&lt;=80,Table13[[#This Row],[Risk_Score]]&gt;45),"Normal",Table13[[#This Row],[Risk_Score]]&lt;=45,"Low")</f>
        <v>Low</v>
      </c>
      <c r="V285" s="7">
        <f t="shared" si="4"/>
        <v>3413.5045739102702</v>
      </c>
    </row>
    <row r="286" spans="1:22">
      <c r="A286" t="s">
        <v>1074</v>
      </c>
      <c r="B286" t="s">
        <v>97</v>
      </c>
      <c r="C286" t="s">
        <v>22</v>
      </c>
      <c r="D286" s="2">
        <v>15049.8359971472</v>
      </c>
      <c r="E286" s="4">
        <v>45871</v>
      </c>
      <c r="F286" t="s">
        <v>1075</v>
      </c>
      <c r="G286" t="s">
        <v>24</v>
      </c>
      <c r="H286" t="s">
        <v>38</v>
      </c>
      <c r="I286" t="s">
        <v>99</v>
      </c>
      <c r="J286" t="s">
        <v>87</v>
      </c>
      <c r="K286" t="s">
        <v>1076</v>
      </c>
      <c r="L286" t="s">
        <v>42</v>
      </c>
      <c r="M286" s="2">
        <v>2900.14002073334</v>
      </c>
      <c r="N286" s="2">
        <v>0</v>
      </c>
      <c r="O286" t="s">
        <v>43</v>
      </c>
      <c r="P286">
        <v>1</v>
      </c>
      <c r="Q286" t="s">
        <v>44</v>
      </c>
      <c r="R286" t="s">
        <v>32</v>
      </c>
      <c r="S286" s="2">
        <v>5.1046689823929698</v>
      </c>
      <c r="T286" s="2">
        <v>4.4661216378898798</v>
      </c>
      <c r="U286" t="str">
        <f>_xlfn.IFS(Table13[[#This Row],[Risk_Score]]&gt;80,"High",AND(Table13[[#This Row],[Risk_Score]]&lt;=80,Table13[[#This Row],[Risk_Score]]&gt;45),"Normal",Table13[[#This Row],[Risk_Score]]&lt;=45,"Low")</f>
        <v>Low</v>
      </c>
      <c r="V286" s="7">
        <f t="shared" si="4"/>
        <v>2900.14002073334</v>
      </c>
    </row>
    <row r="287" spans="1:22">
      <c r="A287" t="s">
        <v>1077</v>
      </c>
      <c r="B287" t="s">
        <v>713</v>
      </c>
      <c r="C287" t="s">
        <v>35</v>
      </c>
      <c r="D287" s="2">
        <v>37686.986415297797</v>
      </c>
      <c r="E287" s="4">
        <v>45871</v>
      </c>
      <c r="F287" t="s">
        <v>1078</v>
      </c>
      <c r="G287" t="s">
        <v>92</v>
      </c>
      <c r="H287" t="s">
        <v>1762</v>
      </c>
      <c r="I287" t="s">
        <v>75</v>
      </c>
      <c r="J287" t="s">
        <v>87</v>
      </c>
      <c r="K287" t="s">
        <v>1079</v>
      </c>
      <c r="L287" t="s">
        <v>42</v>
      </c>
      <c r="M287" s="2">
        <v>1447.7211992611501</v>
      </c>
      <c r="N287" s="2">
        <v>0</v>
      </c>
      <c r="O287" t="s">
        <v>43</v>
      </c>
      <c r="P287">
        <v>1</v>
      </c>
      <c r="Q287" t="s">
        <v>44</v>
      </c>
      <c r="R287" t="s">
        <v>133</v>
      </c>
      <c r="S287" s="2">
        <v>1.6289028975158799</v>
      </c>
      <c r="T287" s="2">
        <v>63.3464119235773</v>
      </c>
      <c r="U287" t="str">
        <f>_xlfn.IFS(Table13[[#This Row],[Risk_Score]]&gt;80,"High",AND(Table13[[#This Row],[Risk_Score]]&lt;=80,Table13[[#This Row],[Risk_Score]]&gt;45),"Normal",Table13[[#This Row],[Risk_Score]]&lt;=45,"Low")</f>
        <v>Normal</v>
      </c>
      <c r="V287" s="7">
        <f t="shared" si="4"/>
        <v>1447.7211992611501</v>
      </c>
    </row>
    <row r="288" spans="1:22">
      <c r="A288" t="s">
        <v>1080</v>
      </c>
      <c r="B288" t="s">
        <v>678</v>
      </c>
      <c r="C288" t="s">
        <v>35</v>
      </c>
      <c r="D288" s="2">
        <v>34616.5484187287</v>
      </c>
      <c r="E288" s="4">
        <v>45872</v>
      </c>
      <c r="F288" t="s">
        <v>1081</v>
      </c>
      <c r="G288" t="s">
        <v>59</v>
      </c>
      <c r="H288" t="s">
        <v>38</v>
      </c>
      <c r="I288" t="s">
        <v>99</v>
      </c>
      <c r="J288" t="s">
        <v>87</v>
      </c>
      <c r="K288" t="s">
        <v>1082</v>
      </c>
      <c r="L288" t="s">
        <v>29</v>
      </c>
      <c r="M288" s="2">
        <v>2110.5007644051402</v>
      </c>
      <c r="N288" s="2">
        <v>0</v>
      </c>
      <c r="O288" t="s">
        <v>43</v>
      </c>
      <c r="P288">
        <v>0</v>
      </c>
      <c r="Q288" t="s">
        <v>1763</v>
      </c>
      <c r="R288" t="s">
        <v>32</v>
      </c>
      <c r="S288" s="2">
        <v>5.4076443555925202</v>
      </c>
      <c r="T288" s="2">
        <v>38.293738229161697</v>
      </c>
      <c r="U288" t="str">
        <f>_xlfn.IFS(Table13[[#This Row],[Risk_Score]]&gt;80,"High",AND(Table13[[#This Row],[Risk_Score]]&lt;=80,Table13[[#This Row],[Risk_Score]]&gt;45),"Normal",Table13[[#This Row],[Risk_Score]]&lt;=45,"Low")</f>
        <v>Low</v>
      </c>
      <c r="V288" s="7">
        <f t="shared" si="4"/>
        <v>2110.5007644051402</v>
      </c>
    </row>
    <row r="289" spans="1:22">
      <c r="A289" t="s">
        <v>1083</v>
      </c>
      <c r="B289" t="s">
        <v>1037</v>
      </c>
      <c r="C289" t="s">
        <v>22</v>
      </c>
      <c r="D289" s="2">
        <v>3210.8339893109501</v>
      </c>
      <c r="E289" s="4">
        <v>45872</v>
      </c>
      <c r="F289" t="s">
        <v>1084</v>
      </c>
      <c r="G289" t="s">
        <v>50</v>
      </c>
      <c r="H289" t="s">
        <v>1762</v>
      </c>
      <c r="I289" t="s">
        <v>75</v>
      </c>
      <c r="J289" t="s">
        <v>60</v>
      </c>
      <c r="K289" t="s">
        <v>1085</v>
      </c>
      <c r="L289" t="s">
        <v>81</v>
      </c>
      <c r="M289" s="2">
        <v>3542.8952120264598</v>
      </c>
      <c r="N289" s="2">
        <v>0</v>
      </c>
      <c r="O289" t="s">
        <v>62</v>
      </c>
      <c r="P289">
        <v>4</v>
      </c>
      <c r="Q289" t="s">
        <v>63</v>
      </c>
      <c r="R289" t="s">
        <v>133</v>
      </c>
      <c r="S289" s="2">
        <v>-0.87014158304019096</v>
      </c>
      <c r="T289" s="2">
        <v>73.962168465299499</v>
      </c>
      <c r="U289" t="str">
        <f>_xlfn.IFS(Table13[[#This Row],[Risk_Score]]&gt;80,"High",AND(Table13[[#This Row],[Risk_Score]]&lt;=80,Table13[[#This Row],[Risk_Score]]&gt;45),"Normal",Table13[[#This Row],[Risk_Score]]&lt;=45,"Low")</f>
        <v>Normal</v>
      </c>
      <c r="V289" s="7">
        <f t="shared" si="4"/>
        <v>3542.8952120264598</v>
      </c>
    </row>
    <row r="290" spans="1:22">
      <c r="A290" t="s">
        <v>1086</v>
      </c>
      <c r="B290" t="s">
        <v>1054</v>
      </c>
      <c r="C290" t="s">
        <v>48</v>
      </c>
      <c r="D290" s="2">
        <v>36838.734466554597</v>
      </c>
      <c r="E290" s="4">
        <v>45873</v>
      </c>
      <c r="F290" t="s">
        <v>1087</v>
      </c>
      <c r="G290" t="s">
        <v>37</v>
      </c>
      <c r="H290" t="s">
        <v>38</v>
      </c>
      <c r="I290" t="s">
        <v>99</v>
      </c>
      <c r="J290" t="s">
        <v>87</v>
      </c>
      <c r="K290" t="s">
        <v>1088</v>
      </c>
      <c r="L290" t="s">
        <v>42</v>
      </c>
      <c r="M290" s="2">
        <v>1197.6143939879</v>
      </c>
      <c r="N290" s="2">
        <v>0</v>
      </c>
      <c r="O290" t="s">
        <v>62</v>
      </c>
      <c r="P290">
        <v>4</v>
      </c>
      <c r="Q290" t="s">
        <v>63</v>
      </c>
      <c r="R290" t="s">
        <v>133</v>
      </c>
      <c r="S290" s="2">
        <v>-19.852508241349302</v>
      </c>
      <c r="T290" s="2">
        <v>92.141933487632798</v>
      </c>
      <c r="U290" t="str">
        <f>_xlfn.IFS(Table13[[#This Row],[Risk_Score]]&gt;80,"High",AND(Table13[[#This Row],[Risk_Score]]&lt;=80,Table13[[#This Row],[Risk_Score]]&gt;45),"Normal",Table13[[#This Row],[Risk_Score]]&lt;=45,"Low")</f>
        <v>High</v>
      </c>
      <c r="V290" s="7">
        <f t="shared" si="4"/>
        <v>1197.6143939879</v>
      </c>
    </row>
    <row r="291" spans="1:22">
      <c r="A291" t="s">
        <v>1089</v>
      </c>
      <c r="B291" t="s">
        <v>1090</v>
      </c>
      <c r="C291" t="s">
        <v>85</v>
      </c>
      <c r="D291" s="2">
        <v>36896.519784081604</v>
      </c>
      <c r="E291" s="4">
        <v>45873</v>
      </c>
      <c r="F291" t="s">
        <v>1091</v>
      </c>
      <c r="G291" t="s">
        <v>172</v>
      </c>
      <c r="H291" t="s">
        <v>38</v>
      </c>
      <c r="I291" t="s">
        <v>51</v>
      </c>
      <c r="J291" t="s">
        <v>87</v>
      </c>
      <c r="K291" t="s">
        <v>1092</v>
      </c>
      <c r="L291" t="s">
        <v>81</v>
      </c>
      <c r="M291" s="2">
        <v>1203.71041885963</v>
      </c>
      <c r="N291" s="2">
        <v>0</v>
      </c>
      <c r="O291" t="s">
        <v>62</v>
      </c>
      <c r="P291">
        <v>1</v>
      </c>
      <c r="Q291" t="s">
        <v>31</v>
      </c>
      <c r="R291" t="s">
        <v>133</v>
      </c>
      <c r="S291" s="2">
        <v>23.196929339361301</v>
      </c>
      <c r="T291" s="2">
        <v>12.684392689259701</v>
      </c>
      <c r="U291" t="str">
        <f>_xlfn.IFS(Table13[[#This Row],[Risk_Score]]&gt;80,"High",AND(Table13[[#This Row],[Risk_Score]]&lt;=80,Table13[[#This Row],[Risk_Score]]&gt;45),"Normal",Table13[[#This Row],[Risk_Score]]&lt;=45,"Low")</f>
        <v>Low</v>
      </c>
      <c r="V291" s="7">
        <f t="shared" si="4"/>
        <v>1203.71041885963</v>
      </c>
    </row>
    <row r="292" spans="1:22">
      <c r="A292" t="s">
        <v>1093</v>
      </c>
      <c r="B292" t="s">
        <v>223</v>
      </c>
      <c r="C292" t="s">
        <v>35</v>
      </c>
      <c r="D292" s="2">
        <v>38291.278425205397</v>
      </c>
      <c r="E292" s="4">
        <v>45874</v>
      </c>
      <c r="F292" t="s">
        <v>1094</v>
      </c>
      <c r="G292" t="s">
        <v>24</v>
      </c>
      <c r="H292" t="s">
        <v>25</v>
      </c>
      <c r="I292" t="s">
        <v>99</v>
      </c>
      <c r="J292" t="s">
        <v>60</v>
      </c>
      <c r="K292" t="s">
        <v>1095</v>
      </c>
      <c r="L292" t="s">
        <v>53</v>
      </c>
      <c r="M292" s="2">
        <v>2928.7428119680399</v>
      </c>
      <c r="N292" s="2">
        <v>0</v>
      </c>
      <c r="O292" t="s">
        <v>62</v>
      </c>
      <c r="P292">
        <v>4</v>
      </c>
      <c r="Q292" t="s">
        <v>55</v>
      </c>
      <c r="R292" t="s">
        <v>133</v>
      </c>
      <c r="S292" s="2">
        <v>-18.719056968222699</v>
      </c>
      <c r="T292" s="2">
        <v>97.195084525980604</v>
      </c>
      <c r="U292" t="str">
        <f>_xlfn.IFS(Table13[[#This Row],[Risk_Score]]&gt;80,"High",AND(Table13[[#This Row],[Risk_Score]]&lt;=80,Table13[[#This Row],[Risk_Score]]&gt;45),"Normal",Table13[[#This Row],[Risk_Score]]&lt;=45,"Low")</f>
        <v>High</v>
      </c>
      <c r="V292" s="7">
        <f t="shared" si="4"/>
        <v>2928.7428119680399</v>
      </c>
    </row>
    <row r="293" spans="1:22">
      <c r="A293" t="s">
        <v>1096</v>
      </c>
      <c r="B293" t="s">
        <v>1097</v>
      </c>
      <c r="C293" t="s">
        <v>22</v>
      </c>
      <c r="D293" s="2">
        <v>29904.176304545999</v>
      </c>
      <c r="E293" s="4">
        <v>45875</v>
      </c>
      <c r="F293" t="s">
        <v>1098</v>
      </c>
      <c r="G293" t="s">
        <v>68</v>
      </c>
      <c r="H293" t="s">
        <v>38</v>
      </c>
      <c r="I293" t="s">
        <v>99</v>
      </c>
      <c r="J293" t="s">
        <v>87</v>
      </c>
      <c r="K293" t="s">
        <v>1099</v>
      </c>
      <c r="L293" t="s">
        <v>81</v>
      </c>
      <c r="M293" s="2">
        <v>1573.9769201081201</v>
      </c>
      <c r="N293" s="2">
        <v>0</v>
      </c>
      <c r="O293" t="s">
        <v>54</v>
      </c>
      <c r="P293">
        <v>0</v>
      </c>
      <c r="Q293" t="s">
        <v>95</v>
      </c>
      <c r="R293" t="s">
        <v>133</v>
      </c>
      <c r="S293" s="2">
        <v>27.713294323542499</v>
      </c>
      <c r="T293" s="2">
        <v>93.426979146387694</v>
      </c>
      <c r="U293" t="str">
        <f>_xlfn.IFS(Table13[[#This Row],[Risk_Score]]&gt;80,"High",AND(Table13[[#This Row],[Risk_Score]]&lt;=80,Table13[[#This Row],[Risk_Score]]&gt;45),"Normal",Table13[[#This Row],[Risk_Score]]&lt;=45,"Low")</f>
        <v>High</v>
      </c>
      <c r="V293" s="7">
        <f t="shared" si="4"/>
        <v>1573.9769201081201</v>
      </c>
    </row>
    <row r="294" spans="1:22">
      <c r="A294" t="s">
        <v>1100</v>
      </c>
      <c r="B294" t="s">
        <v>199</v>
      </c>
      <c r="C294" t="s">
        <v>48</v>
      </c>
      <c r="D294" s="2">
        <v>49884.861534599797</v>
      </c>
      <c r="E294" s="4">
        <v>45876</v>
      </c>
      <c r="F294" t="s">
        <v>1101</v>
      </c>
      <c r="G294" t="s">
        <v>163</v>
      </c>
      <c r="H294" t="s">
        <v>25</v>
      </c>
      <c r="I294" t="s">
        <v>26</v>
      </c>
      <c r="J294" t="s">
        <v>60</v>
      </c>
      <c r="K294" t="s">
        <v>1102</v>
      </c>
      <c r="L294" t="s">
        <v>42</v>
      </c>
      <c r="M294" s="2">
        <v>1665.09665026628</v>
      </c>
      <c r="N294" s="2">
        <v>319.48151098664198</v>
      </c>
      <c r="O294" t="s">
        <v>62</v>
      </c>
      <c r="P294">
        <v>3</v>
      </c>
      <c r="Q294" t="s">
        <v>55</v>
      </c>
      <c r="R294" t="s">
        <v>32</v>
      </c>
      <c r="S294" s="2">
        <v>28.357596265953202</v>
      </c>
      <c r="T294" s="2">
        <v>58.6646327774925</v>
      </c>
      <c r="U294" t="str">
        <f>_xlfn.IFS(Table13[[#This Row],[Risk_Score]]&gt;80,"High",AND(Table13[[#This Row],[Risk_Score]]&lt;=80,Table13[[#This Row],[Risk_Score]]&gt;45),"Normal",Table13[[#This Row],[Risk_Score]]&lt;=45,"Low")</f>
        <v>Normal</v>
      </c>
      <c r="V294" s="7">
        <f t="shared" si="4"/>
        <v>1345.6151392796401</v>
      </c>
    </row>
    <row r="295" spans="1:22">
      <c r="A295" t="s">
        <v>1103</v>
      </c>
      <c r="B295" t="s">
        <v>915</v>
      </c>
      <c r="C295" t="s">
        <v>22</v>
      </c>
      <c r="D295" s="2">
        <v>27038.154667518898</v>
      </c>
      <c r="E295" s="4">
        <v>45877</v>
      </c>
      <c r="F295" t="s">
        <v>1104</v>
      </c>
      <c r="G295" t="s">
        <v>50</v>
      </c>
      <c r="H295" t="s">
        <v>1762</v>
      </c>
      <c r="I295" t="s">
        <v>75</v>
      </c>
      <c r="J295" t="s">
        <v>60</v>
      </c>
      <c r="K295" t="s">
        <v>1105</v>
      </c>
      <c r="L295" t="s">
        <v>42</v>
      </c>
      <c r="M295" s="2">
        <v>2614.4819677279302</v>
      </c>
      <c r="N295" s="2">
        <v>0</v>
      </c>
      <c r="O295" t="s">
        <v>43</v>
      </c>
      <c r="P295">
        <v>1</v>
      </c>
      <c r="Q295" t="s">
        <v>95</v>
      </c>
      <c r="R295" t="s">
        <v>133</v>
      </c>
      <c r="S295" s="2">
        <v>-6.9503545227922503</v>
      </c>
      <c r="T295" s="2">
        <v>61.0907522158397</v>
      </c>
      <c r="U295" t="str">
        <f>_xlfn.IFS(Table13[[#This Row],[Risk_Score]]&gt;80,"High",AND(Table13[[#This Row],[Risk_Score]]&lt;=80,Table13[[#This Row],[Risk_Score]]&gt;45),"Normal",Table13[[#This Row],[Risk_Score]]&lt;=45,"Low")</f>
        <v>Normal</v>
      </c>
      <c r="V295" s="7">
        <f t="shared" si="4"/>
        <v>2614.4819677279302</v>
      </c>
    </row>
    <row r="296" spans="1:22">
      <c r="A296" t="s">
        <v>1106</v>
      </c>
      <c r="B296" t="s">
        <v>656</v>
      </c>
      <c r="C296" t="s">
        <v>22</v>
      </c>
      <c r="D296" s="2">
        <v>-10000</v>
      </c>
      <c r="E296" s="4">
        <v>45878</v>
      </c>
      <c r="F296" t="s">
        <v>1107</v>
      </c>
      <c r="G296" t="s">
        <v>141</v>
      </c>
      <c r="H296" t="s">
        <v>38</v>
      </c>
      <c r="I296" t="s">
        <v>75</v>
      </c>
      <c r="J296" t="s">
        <v>60</v>
      </c>
      <c r="K296" t="s">
        <v>1108</v>
      </c>
      <c r="L296" t="s">
        <v>1763</v>
      </c>
      <c r="M296" s="2">
        <v>4291.97385314238</v>
      </c>
      <c r="N296" s="2">
        <v>0</v>
      </c>
      <c r="O296" t="s">
        <v>43</v>
      </c>
      <c r="P296">
        <v>1</v>
      </c>
      <c r="Q296" t="s">
        <v>44</v>
      </c>
      <c r="R296" t="s">
        <v>32</v>
      </c>
      <c r="S296" s="2">
        <v>0.38103319684873999</v>
      </c>
      <c r="T296" s="2">
        <v>30.349623178901499</v>
      </c>
      <c r="U296" t="str">
        <f>_xlfn.IFS(Table13[[#This Row],[Risk_Score]]&gt;80,"High",AND(Table13[[#This Row],[Risk_Score]]&lt;=80,Table13[[#This Row],[Risk_Score]]&gt;45),"Normal",Table13[[#This Row],[Risk_Score]]&lt;=45,"Low")</f>
        <v>Low</v>
      </c>
      <c r="V296" s="7">
        <f t="shared" si="4"/>
        <v>4291.97385314238</v>
      </c>
    </row>
    <row r="297" spans="1:22">
      <c r="A297" t="s">
        <v>1109</v>
      </c>
      <c r="B297" t="s">
        <v>763</v>
      </c>
      <c r="C297" t="s">
        <v>35</v>
      </c>
      <c r="D297" s="2">
        <v>11082.8509826467</v>
      </c>
      <c r="E297" s="4">
        <v>45879</v>
      </c>
      <c r="F297" t="s">
        <v>1110</v>
      </c>
      <c r="G297" t="s">
        <v>24</v>
      </c>
      <c r="H297" t="s">
        <v>25</v>
      </c>
      <c r="I297" t="s">
        <v>51</v>
      </c>
      <c r="J297" t="s">
        <v>87</v>
      </c>
      <c r="K297" t="s">
        <v>1111</v>
      </c>
      <c r="L297" t="s">
        <v>29</v>
      </c>
      <c r="M297" s="2">
        <v>1006.14204162174</v>
      </c>
      <c r="N297" s="2">
        <v>0</v>
      </c>
      <c r="O297" t="s">
        <v>43</v>
      </c>
      <c r="P297">
        <v>1</v>
      </c>
      <c r="Q297" t="s">
        <v>95</v>
      </c>
      <c r="R297" t="s">
        <v>45</v>
      </c>
      <c r="S297" s="2">
        <v>18.756758345290301</v>
      </c>
      <c r="T297" s="2">
        <v>89.650425095899493</v>
      </c>
      <c r="U297" t="str">
        <f>_xlfn.IFS(Table13[[#This Row],[Risk_Score]]&gt;80,"High",AND(Table13[[#This Row],[Risk_Score]]&lt;=80,Table13[[#This Row],[Risk_Score]]&gt;45),"Normal",Table13[[#This Row],[Risk_Score]]&lt;=45,"Low")</f>
        <v>High</v>
      </c>
      <c r="V297" s="7">
        <f t="shared" si="4"/>
        <v>1006.14204162174</v>
      </c>
    </row>
    <row r="298" spans="1:22">
      <c r="A298" t="s">
        <v>1112</v>
      </c>
      <c r="B298" t="s">
        <v>312</v>
      </c>
      <c r="C298" t="s">
        <v>48</v>
      </c>
      <c r="D298" s="2">
        <v>36554.401926784099</v>
      </c>
      <c r="E298" s="4">
        <v>45879</v>
      </c>
      <c r="F298" t="s">
        <v>1113</v>
      </c>
      <c r="G298" t="s">
        <v>92</v>
      </c>
      <c r="H298" t="s">
        <v>25</v>
      </c>
      <c r="I298" t="s">
        <v>51</v>
      </c>
      <c r="J298" t="s">
        <v>87</v>
      </c>
      <c r="K298" t="s">
        <v>1114</v>
      </c>
      <c r="L298" t="s">
        <v>81</v>
      </c>
      <c r="M298" s="2">
        <v>4969.2306781219504</v>
      </c>
      <c r="N298" s="2">
        <v>229.18173971315301</v>
      </c>
      <c r="O298" t="s">
        <v>62</v>
      </c>
      <c r="P298">
        <v>0</v>
      </c>
      <c r="Q298" t="s">
        <v>31</v>
      </c>
      <c r="R298" t="s">
        <v>45</v>
      </c>
      <c r="S298" s="2">
        <v>-5.8563861111341904</v>
      </c>
      <c r="T298" s="2">
        <v>84.440234319053204</v>
      </c>
      <c r="U298" t="str">
        <f>_xlfn.IFS(Table13[[#This Row],[Risk_Score]]&gt;80,"High",AND(Table13[[#This Row],[Risk_Score]]&lt;=80,Table13[[#This Row],[Risk_Score]]&gt;45),"Normal",Table13[[#This Row],[Risk_Score]]&lt;=45,"Low")</f>
        <v>High</v>
      </c>
      <c r="V298" s="7">
        <f t="shared" si="4"/>
        <v>4740.0489384087996</v>
      </c>
    </row>
    <row r="299" spans="1:22">
      <c r="A299" t="s">
        <v>1115</v>
      </c>
      <c r="B299" t="s">
        <v>1116</v>
      </c>
      <c r="C299" t="s">
        <v>85</v>
      </c>
      <c r="D299" s="2">
        <v>18216.654688535</v>
      </c>
      <c r="E299" s="4">
        <v>45880</v>
      </c>
      <c r="F299" t="s">
        <v>1117</v>
      </c>
      <c r="G299" t="s">
        <v>163</v>
      </c>
      <c r="H299" t="s">
        <v>25</v>
      </c>
      <c r="I299" t="s">
        <v>99</v>
      </c>
      <c r="J299" t="s">
        <v>87</v>
      </c>
      <c r="K299" t="s">
        <v>1118</v>
      </c>
      <c r="L299" t="s">
        <v>120</v>
      </c>
      <c r="M299" s="2">
        <v>2257.4799482059002</v>
      </c>
      <c r="N299" s="2">
        <v>219.56533040242499</v>
      </c>
      <c r="O299" t="s">
        <v>62</v>
      </c>
      <c r="P299">
        <v>0</v>
      </c>
      <c r="Q299" t="s">
        <v>63</v>
      </c>
      <c r="R299" t="s">
        <v>133</v>
      </c>
      <c r="S299" s="2">
        <v>22.108569072166201</v>
      </c>
      <c r="T299" s="2">
        <v>2.6158342323419901</v>
      </c>
      <c r="U299" t="str">
        <f>_xlfn.IFS(Table13[[#This Row],[Risk_Score]]&gt;80,"High",AND(Table13[[#This Row],[Risk_Score]]&lt;=80,Table13[[#This Row],[Risk_Score]]&gt;45),"Normal",Table13[[#This Row],[Risk_Score]]&lt;=45,"Low")</f>
        <v>Low</v>
      </c>
      <c r="V299" s="7">
        <f t="shared" si="4"/>
        <v>2037.91461780348</v>
      </c>
    </row>
    <row r="300" spans="1:22">
      <c r="A300" t="s">
        <v>1119</v>
      </c>
      <c r="B300" t="s">
        <v>312</v>
      </c>
      <c r="C300" t="s">
        <v>48</v>
      </c>
      <c r="D300" s="2">
        <v>44993.405520079403</v>
      </c>
      <c r="E300" s="4">
        <v>45880</v>
      </c>
      <c r="F300" t="s">
        <v>1120</v>
      </c>
      <c r="G300" t="s">
        <v>68</v>
      </c>
      <c r="H300" t="s">
        <v>1762</v>
      </c>
      <c r="I300" t="s">
        <v>51</v>
      </c>
      <c r="J300" t="s">
        <v>60</v>
      </c>
      <c r="K300" t="s">
        <v>1121</v>
      </c>
      <c r="L300" t="s">
        <v>42</v>
      </c>
      <c r="M300" s="2">
        <v>965.35547246236399</v>
      </c>
      <c r="N300" s="2">
        <v>403.97866405450998</v>
      </c>
      <c r="O300" t="s">
        <v>62</v>
      </c>
      <c r="P300">
        <v>1</v>
      </c>
      <c r="Q300" t="s">
        <v>95</v>
      </c>
      <c r="R300" t="s">
        <v>45</v>
      </c>
      <c r="S300" s="2">
        <v>23.747572373682399</v>
      </c>
      <c r="T300" s="2">
        <v>14.6894163912933</v>
      </c>
      <c r="U300" t="str">
        <f>_xlfn.IFS(Table13[[#This Row],[Risk_Score]]&gt;80,"High",AND(Table13[[#This Row],[Risk_Score]]&lt;=80,Table13[[#This Row],[Risk_Score]]&gt;45),"Normal",Table13[[#This Row],[Risk_Score]]&lt;=45,"Low")</f>
        <v>Low</v>
      </c>
      <c r="V300" s="7">
        <f t="shared" si="4"/>
        <v>561.37680840785401</v>
      </c>
    </row>
    <row r="301" spans="1:22">
      <c r="A301" t="s">
        <v>1122</v>
      </c>
      <c r="B301" t="s">
        <v>1123</v>
      </c>
      <c r="C301" t="s">
        <v>35</v>
      </c>
      <c r="D301" s="2">
        <v>37520.546398551603</v>
      </c>
      <c r="E301" s="4">
        <v>45880</v>
      </c>
      <c r="F301" t="s">
        <v>1124</v>
      </c>
      <c r="G301" t="s">
        <v>181</v>
      </c>
      <c r="H301" t="s">
        <v>1762</v>
      </c>
      <c r="I301" t="s">
        <v>75</v>
      </c>
      <c r="J301" t="s">
        <v>87</v>
      </c>
      <c r="K301" t="s">
        <v>1125</v>
      </c>
      <c r="L301" t="s">
        <v>29</v>
      </c>
      <c r="M301" s="2">
        <v>4563.0430907182399</v>
      </c>
      <c r="N301" s="2">
        <v>119.375885543012</v>
      </c>
      <c r="O301" t="s">
        <v>43</v>
      </c>
      <c r="P301">
        <v>3</v>
      </c>
      <c r="Q301" t="s">
        <v>44</v>
      </c>
      <c r="R301" t="s">
        <v>32</v>
      </c>
      <c r="S301" s="2">
        <v>-13.0199618742553</v>
      </c>
      <c r="T301" s="2">
        <v>82.462635280089302</v>
      </c>
      <c r="U301" t="str">
        <f>_xlfn.IFS(Table13[[#This Row],[Risk_Score]]&gt;80,"High",AND(Table13[[#This Row],[Risk_Score]]&lt;=80,Table13[[#This Row],[Risk_Score]]&gt;45),"Normal",Table13[[#This Row],[Risk_Score]]&lt;=45,"Low")</f>
        <v>High</v>
      </c>
      <c r="V301" s="7">
        <f t="shared" si="4"/>
        <v>4443.6672051752303</v>
      </c>
    </row>
    <row r="302" spans="1:22">
      <c r="A302" t="s">
        <v>1126</v>
      </c>
      <c r="B302" t="s">
        <v>589</v>
      </c>
      <c r="C302" t="s">
        <v>22</v>
      </c>
      <c r="D302" s="2">
        <v>999999</v>
      </c>
      <c r="E302" s="4">
        <v>45881</v>
      </c>
      <c r="F302" t="s">
        <v>1127</v>
      </c>
      <c r="G302" t="s">
        <v>92</v>
      </c>
      <c r="H302" t="s">
        <v>1762</v>
      </c>
      <c r="I302" t="s">
        <v>99</v>
      </c>
      <c r="J302" t="s">
        <v>87</v>
      </c>
      <c r="K302" t="s">
        <v>1128</v>
      </c>
      <c r="L302" t="s">
        <v>29</v>
      </c>
      <c r="M302" s="2">
        <v>2708.3545079727701</v>
      </c>
      <c r="N302" s="2">
        <v>0</v>
      </c>
      <c r="O302" t="s">
        <v>43</v>
      </c>
      <c r="P302">
        <v>1</v>
      </c>
      <c r="Q302" t="s">
        <v>63</v>
      </c>
      <c r="R302" t="s">
        <v>45</v>
      </c>
      <c r="S302" s="2">
        <v>-25.681150892200701</v>
      </c>
      <c r="T302" s="2">
        <v>38.122995277487703</v>
      </c>
      <c r="U302" t="str">
        <f>_xlfn.IFS(Table13[[#This Row],[Risk_Score]]&gt;80,"High",AND(Table13[[#This Row],[Risk_Score]]&lt;=80,Table13[[#This Row],[Risk_Score]]&gt;45),"Normal",Table13[[#This Row],[Risk_Score]]&lt;=45,"Low")</f>
        <v>Low</v>
      </c>
      <c r="V302" s="7">
        <f t="shared" si="4"/>
        <v>2708.3545079727701</v>
      </c>
    </row>
    <row r="303" spans="1:22">
      <c r="A303" t="s">
        <v>1129</v>
      </c>
      <c r="B303" t="s">
        <v>629</v>
      </c>
      <c r="C303" t="s">
        <v>35</v>
      </c>
      <c r="D303" s="2">
        <v>-100</v>
      </c>
      <c r="E303" s="4">
        <v>45881</v>
      </c>
      <c r="F303" t="s">
        <v>1130</v>
      </c>
      <c r="G303" t="s">
        <v>50</v>
      </c>
      <c r="H303" t="s">
        <v>25</v>
      </c>
      <c r="I303" t="s">
        <v>99</v>
      </c>
      <c r="J303" t="s">
        <v>87</v>
      </c>
      <c r="K303" t="s">
        <v>1131</v>
      </c>
      <c r="L303" t="s">
        <v>29</v>
      </c>
      <c r="M303" s="2">
        <v>58.136597706625899</v>
      </c>
      <c r="N303" s="2">
        <v>0</v>
      </c>
      <c r="O303" t="s">
        <v>43</v>
      </c>
      <c r="P303">
        <v>1</v>
      </c>
      <c r="Q303" t="s">
        <v>55</v>
      </c>
      <c r="R303" t="s">
        <v>45</v>
      </c>
      <c r="S303" s="2">
        <v>-7.9289583235524903</v>
      </c>
      <c r="T303" s="2">
        <v>87.460579450316601</v>
      </c>
      <c r="U303" t="str">
        <f>_xlfn.IFS(Table13[[#This Row],[Risk_Score]]&gt;80,"High",AND(Table13[[#This Row],[Risk_Score]]&lt;=80,Table13[[#This Row],[Risk_Score]]&gt;45),"Normal",Table13[[#This Row],[Risk_Score]]&lt;=45,"Low")</f>
        <v>High</v>
      </c>
      <c r="V303" s="7">
        <f t="shared" si="4"/>
        <v>58.136597706625899</v>
      </c>
    </row>
    <row r="304" spans="1:22">
      <c r="A304" t="s">
        <v>1132</v>
      </c>
      <c r="B304" t="s">
        <v>1133</v>
      </c>
      <c r="C304" t="s">
        <v>48</v>
      </c>
      <c r="D304" s="2">
        <v>11861.0181286435</v>
      </c>
      <c r="E304" s="4">
        <v>45881</v>
      </c>
      <c r="F304" t="s">
        <v>1134</v>
      </c>
      <c r="G304" t="s">
        <v>68</v>
      </c>
      <c r="H304" t="s">
        <v>25</v>
      </c>
      <c r="I304" t="s">
        <v>99</v>
      </c>
      <c r="J304" t="s">
        <v>60</v>
      </c>
      <c r="K304" t="s">
        <v>1135</v>
      </c>
      <c r="L304" t="s">
        <v>29</v>
      </c>
      <c r="M304" s="2">
        <v>653.30353381784903</v>
      </c>
      <c r="N304" s="2">
        <v>463.872866537704</v>
      </c>
      <c r="O304" t="s">
        <v>43</v>
      </c>
      <c r="P304">
        <v>0</v>
      </c>
      <c r="Q304" t="s">
        <v>63</v>
      </c>
      <c r="R304" t="s">
        <v>45</v>
      </c>
      <c r="S304" s="2">
        <v>26.989752329182</v>
      </c>
      <c r="T304" s="2">
        <v>50.0297874393992</v>
      </c>
      <c r="U304" t="str">
        <f>_xlfn.IFS(Table13[[#This Row],[Risk_Score]]&gt;80,"High",AND(Table13[[#This Row],[Risk_Score]]&lt;=80,Table13[[#This Row],[Risk_Score]]&gt;45),"Normal",Table13[[#This Row],[Risk_Score]]&lt;=45,"Low")</f>
        <v>Normal</v>
      </c>
      <c r="V304" s="7">
        <f t="shared" si="4"/>
        <v>189.430667280145</v>
      </c>
    </row>
    <row r="305" spans="1:22">
      <c r="A305" t="s">
        <v>1136</v>
      </c>
      <c r="B305" t="s">
        <v>241</v>
      </c>
      <c r="C305" t="s">
        <v>85</v>
      </c>
      <c r="D305" s="2">
        <v>27880.407080690002</v>
      </c>
      <c r="E305" s="4">
        <v>45882</v>
      </c>
      <c r="F305" t="s">
        <v>1137</v>
      </c>
      <c r="G305" t="s">
        <v>59</v>
      </c>
      <c r="H305" t="s">
        <v>25</v>
      </c>
      <c r="I305" t="s">
        <v>99</v>
      </c>
      <c r="J305" t="s">
        <v>87</v>
      </c>
      <c r="K305" t="s">
        <v>1138</v>
      </c>
      <c r="L305" t="s">
        <v>120</v>
      </c>
      <c r="M305" s="2">
        <v>4369.4981331551899</v>
      </c>
      <c r="N305" s="2">
        <v>0</v>
      </c>
      <c r="O305" t="s">
        <v>43</v>
      </c>
      <c r="P305">
        <v>3</v>
      </c>
      <c r="Q305" t="s">
        <v>44</v>
      </c>
      <c r="R305" t="s">
        <v>45</v>
      </c>
      <c r="S305" s="2">
        <v>15.216607888679199</v>
      </c>
      <c r="T305" s="2">
        <v>20.9534623950126</v>
      </c>
      <c r="U305" t="str">
        <f>_xlfn.IFS(Table13[[#This Row],[Risk_Score]]&gt;80,"High",AND(Table13[[#This Row],[Risk_Score]]&lt;=80,Table13[[#This Row],[Risk_Score]]&gt;45),"Normal",Table13[[#This Row],[Risk_Score]]&lt;=45,"Low")</f>
        <v>Low</v>
      </c>
      <c r="V305" s="7">
        <f t="shared" si="4"/>
        <v>4369.4981331551899</v>
      </c>
    </row>
    <row r="306" spans="1:22">
      <c r="A306" t="s">
        <v>1139</v>
      </c>
      <c r="B306" t="s">
        <v>1140</v>
      </c>
      <c r="C306" t="s">
        <v>1763</v>
      </c>
      <c r="D306" s="2">
        <v>4426.5900719229603</v>
      </c>
      <c r="E306" s="4">
        <v>45882</v>
      </c>
      <c r="F306" t="s">
        <v>1141</v>
      </c>
      <c r="G306" t="s">
        <v>68</v>
      </c>
      <c r="H306" t="s">
        <v>38</v>
      </c>
      <c r="I306" t="s">
        <v>99</v>
      </c>
      <c r="J306" t="s">
        <v>60</v>
      </c>
      <c r="K306" t="s">
        <v>1142</v>
      </c>
      <c r="L306" t="s">
        <v>81</v>
      </c>
      <c r="M306" s="2">
        <v>959.73409228411094</v>
      </c>
      <c r="N306" s="2">
        <v>0</v>
      </c>
      <c r="O306" t="s">
        <v>43</v>
      </c>
      <c r="P306">
        <v>4</v>
      </c>
      <c r="Q306" t="s">
        <v>63</v>
      </c>
      <c r="R306" t="s">
        <v>133</v>
      </c>
      <c r="S306" s="2">
        <v>2.5545271521348099</v>
      </c>
      <c r="T306" s="2">
        <v>18.319824512663502</v>
      </c>
      <c r="U306" t="str">
        <f>_xlfn.IFS(Table13[[#This Row],[Risk_Score]]&gt;80,"High",AND(Table13[[#This Row],[Risk_Score]]&lt;=80,Table13[[#This Row],[Risk_Score]]&gt;45),"Normal",Table13[[#This Row],[Risk_Score]]&lt;=45,"Low")</f>
        <v>Low</v>
      </c>
      <c r="V306" s="7">
        <f t="shared" si="4"/>
        <v>959.73409228411094</v>
      </c>
    </row>
    <row r="307" spans="1:22">
      <c r="A307" t="s">
        <v>1143</v>
      </c>
      <c r="B307" t="s">
        <v>166</v>
      </c>
      <c r="C307" t="s">
        <v>48</v>
      </c>
      <c r="D307" s="2">
        <v>16938.597010208701</v>
      </c>
      <c r="E307" s="4">
        <v>45883</v>
      </c>
      <c r="F307" t="s">
        <v>1144</v>
      </c>
      <c r="G307" t="s">
        <v>24</v>
      </c>
      <c r="H307" t="s">
        <v>25</v>
      </c>
      <c r="I307" t="s">
        <v>26</v>
      </c>
      <c r="J307" t="s">
        <v>87</v>
      </c>
      <c r="K307" t="s">
        <v>1145</v>
      </c>
      <c r="L307" t="s">
        <v>29</v>
      </c>
      <c r="M307" s="2">
        <v>2108.5136300693398</v>
      </c>
      <c r="N307" s="2">
        <v>304.84095413788901</v>
      </c>
      <c r="O307" t="s">
        <v>43</v>
      </c>
      <c r="P307">
        <v>3</v>
      </c>
      <c r="Q307" t="s">
        <v>55</v>
      </c>
      <c r="R307" t="s">
        <v>45</v>
      </c>
      <c r="S307" s="2">
        <v>-25.7245000411063</v>
      </c>
      <c r="T307" s="2">
        <v>27.946944122964901</v>
      </c>
      <c r="U307" t="str">
        <f>_xlfn.IFS(Table13[[#This Row],[Risk_Score]]&gt;80,"High",AND(Table13[[#This Row],[Risk_Score]]&lt;=80,Table13[[#This Row],[Risk_Score]]&gt;45),"Normal",Table13[[#This Row],[Risk_Score]]&lt;=45,"Low")</f>
        <v>Low</v>
      </c>
      <c r="V307" s="7">
        <f t="shared" si="4"/>
        <v>1803.6726759314499</v>
      </c>
    </row>
    <row r="308" spans="1:22">
      <c r="A308" t="s">
        <v>1146</v>
      </c>
      <c r="B308" t="s">
        <v>1047</v>
      </c>
      <c r="C308" t="s">
        <v>85</v>
      </c>
      <c r="D308" s="2">
        <v>27480.893929449699</v>
      </c>
      <c r="E308" s="4">
        <v>45883</v>
      </c>
      <c r="F308" t="s">
        <v>1147</v>
      </c>
      <c r="G308" t="s">
        <v>181</v>
      </c>
      <c r="H308" t="s">
        <v>25</v>
      </c>
      <c r="I308" t="s">
        <v>99</v>
      </c>
      <c r="J308" t="s">
        <v>87</v>
      </c>
      <c r="K308" t="s">
        <v>1148</v>
      </c>
      <c r="L308" t="s">
        <v>155</v>
      </c>
      <c r="M308" s="2">
        <v>3009.3079348861402</v>
      </c>
      <c r="N308" s="2">
        <v>0</v>
      </c>
      <c r="O308" t="s">
        <v>62</v>
      </c>
      <c r="P308">
        <v>2</v>
      </c>
      <c r="Q308" t="s">
        <v>1763</v>
      </c>
      <c r="R308" t="s">
        <v>32</v>
      </c>
      <c r="S308" s="2">
        <v>14.223811058650501</v>
      </c>
      <c r="T308" s="2">
        <v>84.993749140472403</v>
      </c>
      <c r="U308" t="str">
        <f>_xlfn.IFS(Table13[[#This Row],[Risk_Score]]&gt;80,"High",AND(Table13[[#This Row],[Risk_Score]]&lt;=80,Table13[[#This Row],[Risk_Score]]&gt;45),"Normal",Table13[[#This Row],[Risk_Score]]&lt;=45,"Low")</f>
        <v>High</v>
      </c>
      <c r="V308" s="7">
        <f t="shared" si="4"/>
        <v>3009.3079348861402</v>
      </c>
    </row>
    <row r="309" spans="1:22">
      <c r="A309" t="s">
        <v>1149</v>
      </c>
      <c r="B309" t="s">
        <v>387</v>
      </c>
      <c r="C309" t="s">
        <v>48</v>
      </c>
      <c r="D309" s="2">
        <v>475.96472039032898</v>
      </c>
      <c r="E309" s="4">
        <v>45883</v>
      </c>
      <c r="F309" t="s">
        <v>1150</v>
      </c>
      <c r="G309" t="s">
        <v>37</v>
      </c>
      <c r="H309" t="s">
        <v>1762</v>
      </c>
      <c r="I309" t="s">
        <v>99</v>
      </c>
      <c r="J309" t="s">
        <v>60</v>
      </c>
      <c r="K309" t="s">
        <v>1151</v>
      </c>
      <c r="L309" t="s">
        <v>120</v>
      </c>
      <c r="M309" s="2">
        <v>2366.5032892663098</v>
      </c>
      <c r="N309" s="2">
        <v>0</v>
      </c>
      <c r="O309" t="s">
        <v>62</v>
      </c>
      <c r="P309">
        <v>2</v>
      </c>
      <c r="Q309" t="s">
        <v>31</v>
      </c>
      <c r="R309" t="s">
        <v>32</v>
      </c>
      <c r="S309" s="2">
        <v>2.9180583116750101</v>
      </c>
      <c r="T309" s="2">
        <v>5.4684620753365598</v>
      </c>
      <c r="U309" t="str">
        <f>_xlfn.IFS(Table13[[#This Row],[Risk_Score]]&gt;80,"High",AND(Table13[[#This Row],[Risk_Score]]&lt;=80,Table13[[#This Row],[Risk_Score]]&gt;45),"Normal",Table13[[#This Row],[Risk_Score]]&lt;=45,"Low")</f>
        <v>Low</v>
      </c>
      <c r="V309" s="7">
        <f t="shared" si="4"/>
        <v>2366.5032892663098</v>
      </c>
    </row>
    <row r="310" spans="1:22">
      <c r="A310" t="s">
        <v>1152</v>
      </c>
      <c r="B310" t="s">
        <v>1153</v>
      </c>
      <c r="C310" t="s">
        <v>85</v>
      </c>
      <c r="D310" s="2">
        <v>41357.261507673</v>
      </c>
      <c r="E310" s="4">
        <v>45883</v>
      </c>
      <c r="F310" t="s">
        <v>1154</v>
      </c>
      <c r="G310" t="s">
        <v>37</v>
      </c>
      <c r="H310" t="s">
        <v>1762</v>
      </c>
      <c r="I310" t="s">
        <v>99</v>
      </c>
      <c r="J310" t="s">
        <v>87</v>
      </c>
      <c r="K310" t="s">
        <v>1155</v>
      </c>
      <c r="L310" t="s">
        <v>81</v>
      </c>
      <c r="M310" s="2">
        <v>2254.9920021847302</v>
      </c>
      <c r="N310" s="2">
        <v>0</v>
      </c>
      <c r="O310" t="s">
        <v>62</v>
      </c>
      <c r="P310">
        <v>1</v>
      </c>
      <c r="Q310" t="s">
        <v>95</v>
      </c>
      <c r="R310" t="s">
        <v>133</v>
      </c>
      <c r="S310" s="2">
        <v>-21.4407389116103</v>
      </c>
      <c r="T310" s="2">
        <v>41.114893234013898</v>
      </c>
      <c r="U310" t="str">
        <f>_xlfn.IFS(Table13[[#This Row],[Risk_Score]]&gt;80,"High",AND(Table13[[#This Row],[Risk_Score]]&lt;=80,Table13[[#This Row],[Risk_Score]]&gt;45),"Normal",Table13[[#This Row],[Risk_Score]]&lt;=45,"Low")</f>
        <v>Low</v>
      </c>
      <c r="V310" s="7">
        <f t="shared" si="4"/>
        <v>2254.9920021847302</v>
      </c>
    </row>
    <row r="311" spans="1:22">
      <c r="A311" t="s">
        <v>1156</v>
      </c>
      <c r="B311" t="s">
        <v>1090</v>
      </c>
      <c r="C311" t="s">
        <v>85</v>
      </c>
      <c r="D311" s="2">
        <v>43428.225241075801</v>
      </c>
      <c r="E311" s="4">
        <v>45883</v>
      </c>
      <c r="F311" t="s">
        <v>1157</v>
      </c>
      <c r="G311" t="s">
        <v>24</v>
      </c>
      <c r="H311" t="s">
        <v>38</v>
      </c>
      <c r="I311" t="s">
        <v>75</v>
      </c>
      <c r="J311" t="s">
        <v>60</v>
      </c>
      <c r="K311" t="s">
        <v>1158</v>
      </c>
      <c r="L311" t="s">
        <v>81</v>
      </c>
      <c r="M311" s="2">
        <v>2038.87601879165</v>
      </c>
      <c r="N311" s="2">
        <v>0</v>
      </c>
      <c r="O311" t="s">
        <v>43</v>
      </c>
      <c r="P311">
        <v>3</v>
      </c>
      <c r="Q311" t="s">
        <v>63</v>
      </c>
      <c r="R311" t="s">
        <v>133</v>
      </c>
      <c r="S311" s="2">
        <v>-8.6165700420057494</v>
      </c>
      <c r="T311" s="2">
        <v>98.632817356012595</v>
      </c>
      <c r="U311" t="str">
        <f>_xlfn.IFS(Table13[[#This Row],[Risk_Score]]&gt;80,"High",AND(Table13[[#This Row],[Risk_Score]]&lt;=80,Table13[[#This Row],[Risk_Score]]&gt;45),"Normal",Table13[[#This Row],[Risk_Score]]&lt;=45,"Low")</f>
        <v>High</v>
      </c>
      <c r="V311" s="7">
        <f t="shared" si="4"/>
        <v>2038.87601879165</v>
      </c>
    </row>
    <row r="312" spans="1:22">
      <c r="A312" t="s">
        <v>1159</v>
      </c>
      <c r="B312" t="s">
        <v>535</v>
      </c>
      <c r="C312" t="s">
        <v>22</v>
      </c>
      <c r="D312" s="2">
        <v>24369.2383515808</v>
      </c>
      <c r="E312" s="4">
        <v>45884</v>
      </c>
      <c r="F312" t="s">
        <v>1160</v>
      </c>
      <c r="G312" t="s">
        <v>24</v>
      </c>
      <c r="H312" t="s">
        <v>1762</v>
      </c>
      <c r="I312" t="s">
        <v>75</v>
      </c>
      <c r="J312" t="s">
        <v>60</v>
      </c>
      <c r="K312" t="s">
        <v>1161</v>
      </c>
      <c r="L312" t="s">
        <v>42</v>
      </c>
      <c r="M312" s="2">
        <v>121.18711812155701</v>
      </c>
      <c r="N312" s="2">
        <v>0</v>
      </c>
      <c r="O312" t="s">
        <v>62</v>
      </c>
      <c r="P312">
        <v>4</v>
      </c>
      <c r="Q312" t="s">
        <v>63</v>
      </c>
      <c r="R312" t="s">
        <v>133</v>
      </c>
      <c r="S312" s="2">
        <v>-18.6968994399076</v>
      </c>
      <c r="T312" s="2">
        <v>81.361572598071902</v>
      </c>
      <c r="U312" t="str">
        <f>_xlfn.IFS(Table13[[#This Row],[Risk_Score]]&gt;80,"High",AND(Table13[[#This Row],[Risk_Score]]&lt;=80,Table13[[#This Row],[Risk_Score]]&gt;45),"Normal",Table13[[#This Row],[Risk_Score]]&lt;=45,"Low")</f>
        <v>High</v>
      </c>
      <c r="V312" s="7">
        <f t="shared" si="4"/>
        <v>121.18711812155701</v>
      </c>
    </row>
    <row r="313" spans="1:22">
      <c r="A313" t="s">
        <v>1162</v>
      </c>
      <c r="B313" t="s">
        <v>192</v>
      </c>
      <c r="C313" t="s">
        <v>48</v>
      </c>
      <c r="D313" s="2">
        <v>42051.428295308797</v>
      </c>
      <c r="E313" s="4">
        <v>45884</v>
      </c>
      <c r="F313" t="s">
        <v>1163</v>
      </c>
      <c r="G313" t="s">
        <v>163</v>
      </c>
      <c r="H313" t="s">
        <v>38</v>
      </c>
      <c r="I313" t="s">
        <v>75</v>
      </c>
      <c r="J313" t="s">
        <v>87</v>
      </c>
      <c r="K313" t="s">
        <v>1164</v>
      </c>
      <c r="L313" t="s">
        <v>53</v>
      </c>
      <c r="M313" s="2">
        <v>4324.24881142712</v>
      </c>
      <c r="N313" s="2">
        <v>0</v>
      </c>
      <c r="O313" t="s">
        <v>54</v>
      </c>
      <c r="P313">
        <v>4</v>
      </c>
      <c r="Q313" t="s">
        <v>31</v>
      </c>
      <c r="R313" t="s">
        <v>45</v>
      </c>
      <c r="S313" s="2">
        <v>-2.06966000835122</v>
      </c>
      <c r="T313" s="2">
        <v>89.756219345315998</v>
      </c>
      <c r="U313" t="str">
        <f>_xlfn.IFS(Table13[[#This Row],[Risk_Score]]&gt;80,"High",AND(Table13[[#This Row],[Risk_Score]]&lt;=80,Table13[[#This Row],[Risk_Score]]&gt;45),"Normal",Table13[[#This Row],[Risk_Score]]&lt;=45,"Low")</f>
        <v>High</v>
      </c>
      <c r="V313" s="7">
        <f t="shared" si="4"/>
        <v>4324.24881142712</v>
      </c>
    </row>
    <row r="314" spans="1:22">
      <c r="A314" t="s">
        <v>1165</v>
      </c>
      <c r="B314" t="s">
        <v>1166</v>
      </c>
      <c r="C314" t="s">
        <v>48</v>
      </c>
      <c r="D314" s="2">
        <v>30443.583692140099</v>
      </c>
      <c r="E314" s="4">
        <v>45884</v>
      </c>
      <c r="F314" t="s">
        <v>1167</v>
      </c>
      <c r="G314" t="s">
        <v>163</v>
      </c>
      <c r="H314" t="s">
        <v>38</v>
      </c>
      <c r="I314" t="s">
        <v>75</v>
      </c>
      <c r="J314" t="s">
        <v>60</v>
      </c>
      <c r="K314" t="s">
        <v>1168</v>
      </c>
      <c r="L314" t="s">
        <v>42</v>
      </c>
      <c r="M314" s="2">
        <v>3837.70947708424</v>
      </c>
      <c r="N314" s="2">
        <v>0</v>
      </c>
      <c r="O314" t="s">
        <v>54</v>
      </c>
      <c r="P314">
        <v>4</v>
      </c>
      <c r="Q314" t="s">
        <v>95</v>
      </c>
      <c r="R314" t="s">
        <v>45</v>
      </c>
      <c r="S314" s="2">
        <v>16.3728346478111</v>
      </c>
      <c r="T314" s="2">
        <v>67.638937805490997</v>
      </c>
      <c r="U314" t="str">
        <f>_xlfn.IFS(Table13[[#This Row],[Risk_Score]]&gt;80,"High",AND(Table13[[#This Row],[Risk_Score]]&lt;=80,Table13[[#This Row],[Risk_Score]]&gt;45),"Normal",Table13[[#This Row],[Risk_Score]]&lt;=45,"Low")</f>
        <v>Normal</v>
      </c>
      <c r="V314" s="7">
        <f t="shared" si="4"/>
        <v>3837.70947708424</v>
      </c>
    </row>
    <row r="315" spans="1:22">
      <c r="A315" t="s">
        <v>1169</v>
      </c>
      <c r="B315" t="s">
        <v>1090</v>
      </c>
      <c r="C315" t="s">
        <v>35</v>
      </c>
      <c r="D315" s="2">
        <v>29538.799267168</v>
      </c>
      <c r="E315" s="4">
        <v>45884</v>
      </c>
      <c r="F315" t="s">
        <v>1170</v>
      </c>
      <c r="G315" t="s">
        <v>172</v>
      </c>
      <c r="H315" t="s">
        <v>25</v>
      </c>
      <c r="I315" t="s">
        <v>51</v>
      </c>
      <c r="J315" t="s">
        <v>60</v>
      </c>
      <c r="K315" t="s">
        <v>1171</v>
      </c>
      <c r="L315" t="s">
        <v>42</v>
      </c>
      <c r="M315" s="2">
        <v>3198.5386807435202</v>
      </c>
      <c r="N315" s="2">
        <v>0</v>
      </c>
      <c r="O315" t="s">
        <v>62</v>
      </c>
      <c r="P315">
        <v>0</v>
      </c>
      <c r="Q315" t="s">
        <v>55</v>
      </c>
      <c r="R315" t="s">
        <v>32</v>
      </c>
      <c r="S315" s="2">
        <v>-23.6941469871817</v>
      </c>
      <c r="T315" s="2">
        <v>88.820919321414905</v>
      </c>
      <c r="U315" t="str">
        <f>_xlfn.IFS(Table13[[#This Row],[Risk_Score]]&gt;80,"High",AND(Table13[[#This Row],[Risk_Score]]&lt;=80,Table13[[#This Row],[Risk_Score]]&gt;45),"Normal",Table13[[#This Row],[Risk_Score]]&lt;=45,"Low")</f>
        <v>High</v>
      </c>
      <c r="V315" s="7">
        <f t="shared" si="4"/>
        <v>3198.5386807435202</v>
      </c>
    </row>
    <row r="316" spans="1:22">
      <c r="A316" t="s">
        <v>1172</v>
      </c>
      <c r="B316" t="s">
        <v>66</v>
      </c>
      <c r="C316" t="s">
        <v>85</v>
      </c>
      <c r="D316" s="2">
        <v>27909.537907613401</v>
      </c>
      <c r="E316" s="4">
        <v>45885</v>
      </c>
      <c r="F316" t="s">
        <v>1173</v>
      </c>
      <c r="G316" t="s">
        <v>163</v>
      </c>
      <c r="H316" t="s">
        <v>25</v>
      </c>
      <c r="I316" t="s">
        <v>99</v>
      </c>
      <c r="J316" t="s">
        <v>87</v>
      </c>
      <c r="K316" t="s">
        <v>1174</v>
      </c>
      <c r="L316" t="s">
        <v>29</v>
      </c>
      <c r="M316" s="2">
        <v>2094.8816187493599</v>
      </c>
      <c r="N316" s="2">
        <v>0</v>
      </c>
      <c r="O316" t="s">
        <v>43</v>
      </c>
      <c r="P316">
        <v>4</v>
      </c>
      <c r="Q316" t="s">
        <v>55</v>
      </c>
      <c r="R316" t="s">
        <v>45</v>
      </c>
      <c r="S316" s="2">
        <v>7.5590348350772096</v>
      </c>
      <c r="T316" s="2">
        <v>32.455410973092597</v>
      </c>
      <c r="U316" t="str">
        <f>_xlfn.IFS(Table13[[#This Row],[Risk_Score]]&gt;80,"High",AND(Table13[[#This Row],[Risk_Score]]&lt;=80,Table13[[#This Row],[Risk_Score]]&gt;45),"Normal",Table13[[#This Row],[Risk_Score]]&lt;=45,"Low")</f>
        <v>Low</v>
      </c>
      <c r="V316" s="7">
        <f t="shared" si="4"/>
        <v>2094.8816187493599</v>
      </c>
    </row>
    <row r="317" spans="1:22">
      <c r="A317" t="s">
        <v>1175</v>
      </c>
      <c r="B317" t="s">
        <v>1176</v>
      </c>
      <c r="C317" t="s">
        <v>22</v>
      </c>
      <c r="D317" s="2">
        <v>35275.784929478803</v>
      </c>
      <c r="E317" s="4">
        <v>45885</v>
      </c>
      <c r="F317" t="s">
        <v>1177</v>
      </c>
      <c r="G317" t="s">
        <v>141</v>
      </c>
      <c r="H317" t="s">
        <v>1762</v>
      </c>
      <c r="I317" t="s">
        <v>75</v>
      </c>
      <c r="J317" t="s">
        <v>87</v>
      </c>
      <c r="K317" t="s">
        <v>1178</v>
      </c>
      <c r="L317" t="s">
        <v>29</v>
      </c>
      <c r="M317" s="2">
        <v>2684.5032305381601</v>
      </c>
      <c r="N317" s="2">
        <v>224.51888018498099</v>
      </c>
      <c r="O317" t="s">
        <v>54</v>
      </c>
      <c r="P317">
        <v>4</v>
      </c>
      <c r="Q317" t="s">
        <v>44</v>
      </c>
      <c r="R317" t="s">
        <v>32</v>
      </c>
      <c r="S317" s="2">
        <v>16.306976344100899</v>
      </c>
      <c r="T317" s="2">
        <v>94.215791702999297</v>
      </c>
      <c r="U317" t="str">
        <f>_xlfn.IFS(Table13[[#This Row],[Risk_Score]]&gt;80,"High",AND(Table13[[#This Row],[Risk_Score]]&lt;=80,Table13[[#This Row],[Risk_Score]]&gt;45),"Normal",Table13[[#This Row],[Risk_Score]]&lt;=45,"Low")</f>
        <v>High</v>
      </c>
      <c r="V317" s="7">
        <f t="shared" si="4"/>
        <v>2459.9843503531802</v>
      </c>
    </row>
    <row r="318" spans="1:22">
      <c r="A318" t="s">
        <v>1179</v>
      </c>
      <c r="B318" t="s">
        <v>490</v>
      </c>
      <c r="C318" t="s">
        <v>48</v>
      </c>
      <c r="D318" s="2">
        <v>34180.8049645149</v>
      </c>
      <c r="E318" s="4">
        <v>45890</v>
      </c>
      <c r="F318" t="s">
        <v>1180</v>
      </c>
      <c r="G318" t="s">
        <v>163</v>
      </c>
      <c r="H318" t="s">
        <v>25</v>
      </c>
      <c r="I318" t="s">
        <v>99</v>
      </c>
      <c r="J318" t="s">
        <v>60</v>
      </c>
      <c r="K318" t="s">
        <v>1181</v>
      </c>
      <c r="L318" t="s">
        <v>29</v>
      </c>
      <c r="M318" s="2">
        <v>4759.4144667965802</v>
      </c>
      <c r="N318" s="2">
        <v>53.106913794228099</v>
      </c>
      <c r="O318" t="s">
        <v>62</v>
      </c>
      <c r="P318">
        <v>3</v>
      </c>
      <c r="Q318" t="s">
        <v>63</v>
      </c>
      <c r="R318" t="s">
        <v>45</v>
      </c>
      <c r="S318" s="2">
        <v>-26.1448366227233</v>
      </c>
      <c r="T318" s="2">
        <v>60.358124712306299</v>
      </c>
      <c r="U318" t="str">
        <f>_xlfn.IFS(Table13[[#This Row],[Risk_Score]]&gt;80,"High",AND(Table13[[#This Row],[Risk_Score]]&lt;=80,Table13[[#This Row],[Risk_Score]]&gt;45),"Normal",Table13[[#This Row],[Risk_Score]]&lt;=45,"Low")</f>
        <v>Normal</v>
      </c>
      <c r="V318" s="7">
        <f t="shared" si="4"/>
        <v>4706.3075530023498</v>
      </c>
    </row>
    <row r="319" spans="1:22">
      <c r="A319" t="s">
        <v>1182</v>
      </c>
      <c r="B319" t="s">
        <v>312</v>
      </c>
      <c r="C319" t="s">
        <v>85</v>
      </c>
      <c r="D319" s="2">
        <v>3424.29370830177</v>
      </c>
      <c r="E319" s="4">
        <v>45890</v>
      </c>
      <c r="F319" t="s">
        <v>1183</v>
      </c>
      <c r="G319" t="s">
        <v>141</v>
      </c>
      <c r="H319" t="s">
        <v>1762</v>
      </c>
      <c r="I319" t="s">
        <v>51</v>
      </c>
      <c r="J319" t="s">
        <v>87</v>
      </c>
      <c r="K319" t="s">
        <v>1184</v>
      </c>
      <c r="L319" t="s">
        <v>29</v>
      </c>
      <c r="M319" s="2">
        <v>3700.17922434413</v>
      </c>
      <c r="N319" s="2">
        <v>288.67670060983397</v>
      </c>
      <c r="O319" t="s">
        <v>43</v>
      </c>
      <c r="P319">
        <v>2</v>
      </c>
      <c r="Q319" t="s">
        <v>31</v>
      </c>
      <c r="R319" t="s">
        <v>133</v>
      </c>
      <c r="S319" s="2">
        <v>10.198195445799399</v>
      </c>
      <c r="T319" s="2">
        <v>31.8352022136011</v>
      </c>
      <c r="U319" t="str">
        <f>_xlfn.IFS(Table13[[#This Row],[Risk_Score]]&gt;80,"High",AND(Table13[[#This Row],[Risk_Score]]&lt;=80,Table13[[#This Row],[Risk_Score]]&gt;45),"Normal",Table13[[#This Row],[Risk_Score]]&lt;=45,"Low")</f>
        <v>Low</v>
      </c>
      <c r="V319" s="7">
        <f t="shared" si="4"/>
        <v>3411.5025237343002</v>
      </c>
    </row>
    <row r="320" spans="1:22">
      <c r="A320" t="s">
        <v>1185</v>
      </c>
      <c r="B320" t="s">
        <v>353</v>
      </c>
      <c r="C320" t="s">
        <v>48</v>
      </c>
      <c r="D320" s="2">
        <v>40285.2168711595</v>
      </c>
      <c r="E320" s="4">
        <v>45890</v>
      </c>
      <c r="F320" t="s">
        <v>1186</v>
      </c>
      <c r="G320" t="s">
        <v>181</v>
      </c>
      <c r="H320" t="s">
        <v>38</v>
      </c>
      <c r="I320" t="s">
        <v>99</v>
      </c>
      <c r="J320" t="s">
        <v>60</v>
      </c>
      <c r="K320" t="s">
        <v>1187</v>
      </c>
      <c r="L320" t="s">
        <v>155</v>
      </c>
      <c r="M320" s="2">
        <v>2462.5529862766102</v>
      </c>
      <c r="N320" s="2">
        <v>410.91966137645102</v>
      </c>
      <c r="O320" t="s">
        <v>43</v>
      </c>
      <c r="P320">
        <v>3</v>
      </c>
      <c r="Q320" t="s">
        <v>95</v>
      </c>
      <c r="R320" t="s">
        <v>45</v>
      </c>
      <c r="S320" s="2">
        <v>16.325371432877098</v>
      </c>
      <c r="T320" s="2">
        <v>90.438113466552295</v>
      </c>
      <c r="U320" t="str">
        <f>_xlfn.IFS(Table13[[#This Row],[Risk_Score]]&gt;80,"High",AND(Table13[[#This Row],[Risk_Score]]&lt;=80,Table13[[#This Row],[Risk_Score]]&gt;45),"Normal",Table13[[#This Row],[Risk_Score]]&lt;=45,"Low")</f>
        <v>High</v>
      </c>
      <c r="V320" s="7">
        <f t="shared" si="4"/>
        <v>2051.63332490016</v>
      </c>
    </row>
    <row r="321" spans="1:22">
      <c r="A321" t="s">
        <v>1188</v>
      </c>
      <c r="B321" t="s">
        <v>395</v>
      </c>
      <c r="C321" t="s">
        <v>85</v>
      </c>
      <c r="D321" s="2">
        <v>5424.2925806604599</v>
      </c>
      <c r="E321" s="4">
        <v>45892</v>
      </c>
      <c r="F321" t="s">
        <v>1189</v>
      </c>
      <c r="G321" t="s">
        <v>172</v>
      </c>
      <c r="H321" t="s">
        <v>25</v>
      </c>
      <c r="I321" t="s">
        <v>51</v>
      </c>
      <c r="J321" t="s">
        <v>87</v>
      </c>
      <c r="K321" t="s">
        <v>142</v>
      </c>
      <c r="L321" t="s">
        <v>120</v>
      </c>
      <c r="M321" s="2">
        <v>3374.3593275476801</v>
      </c>
      <c r="N321" s="2">
        <v>0</v>
      </c>
      <c r="O321" t="s">
        <v>43</v>
      </c>
      <c r="P321">
        <v>3</v>
      </c>
      <c r="Q321" t="s">
        <v>95</v>
      </c>
      <c r="R321" t="s">
        <v>133</v>
      </c>
      <c r="S321" s="2">
        <v>-22.430814222731001</v>
      </c>
      <c r="T321" s="2">
        <v>46.997843465779397</v>
      </c>
      <c r="U321" t="str">
        <f>_xlfn.IFS(Table13[[#This Row],[Risk_Score]]&gt;80,"High",AND(Table13[[#This Row],[Risk_Score]]&lt;=80,Table13[[#This Row],[Risk_Score]]&gt;45),"Normal",Table13[[#This Row],[Risk_Score]]&lt;=45,"Low")</f>
        <v>Normal</v>
      </c>
      <c r="V321" s="7">
        <f t="shared" si="4"/>
        <v>3374.3593275476801</v>
      </c>
    </row>
    <row r="322" spans="1:22">
      <c r="A322" t="s">
        <v>1190</v>
      </c>
      <c r="B322" t="s">
        <v>738</v>
      </c>
      <c r="C322" t="s">
        <v>22</v>
      </c>
      <c r="D322" s="2">
        <v>22600.431326063601</v>
      </c>
      <c r="E322" s="4">
        <v>45893</v>
      </c>
      <c r="F322" t="s">
        <v>1191</v>
      </c>
      <c r="G322" t="s">
        <v>1763</v>
      </c>
      <c r="H322" t="s">
        <v>38</v>
      </c>
      <c r="I322" t="s">
        <v>99</v>
      </c>
      <c r="J322" t="s">
        <v>60</v>
      </c>
      <c r="K322" t="s">
        <v>1192</v>
      </c>
      <c r="L322" t="s">
        <v>53</v>
      </c>
      <c r="M322" s="2">
        <v>4521.0781202209</v>
      </c>
      <c r="N322" s="2">
        <v>0</v>
      </c>
      <c r="O322" t="s">
        <v>43</v>
      </c>
      <c r="P322">
        <v>4</v>
      </c>
      <c r="Q322" t="s">
        <v>31</v>
      </c>
      <c r="R322" t="s">
        <v>45</v>
      </c>
      <c r="S322" s="2">
        <v>-25.812030906315002</v>
      </c>
      <c r="T322" s="2">
        <v>14.5567509833236</v>
      </c>
      <c r="U322" t="str">
        <f>_xlfn.IFS(Table13[[#This Row],[Risk_Score]]&gt;80,"High",AND(Table13[[#This Row],[Risk_Score]]&lt;=80,Table13[[#This Row],[Risk_Score]]&gt;45),"Normal",Table13[[#This Row],[Risk_Score]]&lt;=45,"Low")</f>
        <v>Low</v>
      </c>
      <c r="V322" s="7">
        <f t="shared" ref="V322:V385" si="5">IF(M322-N322&gt;0,M322-N322,0)</f>
        <v>4521.0781202209</v>
      </c>
    </row>
    <row r="323" spans="1:22">
      <c r="A323" t="s">
        <v>1193</v>
      </c>
      <c r="B323" t="s">
        <v>1194</v>
      </c>
      <c r="C323" t="s">
        <v>48</v>
      </c>
      <c r="D323" s="2">
        <v>32603.223828313501</v>
      </c>
      <c r="E323" s="4">
        <v>45893</v>
      </c>
      <c r="F323" t="s">
        <v>1195</v>
      </c>
      <c r="G323" t="s">
        <v>24</v>
      </c>
      <c r="H323" t="s">
        <v>38</v>
      </c>
      <c r="I323" t="s">
        <v>51</v>
      </c>
      <c r="J323" t="s">
        <v>60</v>
      </c>
      <c r="K323" t="s">
        <v>1196</v>
      </c>
      <c r="L323" t="s">
        <v>81</v>
      </c>
      <c r="M323" s="2">
        <v>4849.5988975764703</v>
      </c>
      <c r="N323" s="2">
        <v>0</v>
      </c>
      <c r="O323" t="s">
        <v>62</v>
      </c>
      <c r="P323">
        <v>1</v>
      </c>
      <c r="Q323" t="s">
        <v>31</v>
      </c>
      <c r="R323" t="s">
        <v>32</v>
      </c>
      <c r="S323" s="2">
        <v>-19.435042018097</v>
      </c>
      <c r="T323" s="2">
        <v>40.788261019698297</v>
      </c>
      <c r="U323" t="str">
        <f>_xlfn.IFS(Table13[[#This Row],[Risk_Score]]&gt;80,"High",AND(Table13[[#This Row],[Risk_Score]]&lt;=80,Table13[[#This Row],[Risk_Score]]&gt;45),"Normal",Table13[[#This Row],[Risk_Score]]&lt;=45,"Low")</f>
        <v>Low</v>
      </c>
      <c r="V323" s="7">
        <f t="shared" si="5"/>
        <v>4849.5988975764703</v>
      </c>
    </row>
    <row r="324" spans="1:22">
      <c r="A324" t="s">
        <v>1197</v>
      </c>
      <c r="B324" t="s">
        <v>219</v>
      </c>
      <c r="C324" t="s">
        <v>85</v>
      </c>
      <c r="D324" s="2">
        <v>26227.753573149101</v>
      </c>
      <c r="E324" s="4">
        <v>45893</v>
      </c>
      <c r="F324" t="s">
        <v>1198</v>
      </c>
      <c r="G324" t="s">
        <v>181</v>
      </c>
      <c r="H324" t="s">
        <v>25</v>
      </c>
      <c r="I324" t="s">
        <v>99</v>
      </c>
      <c r="J324" t="s">
        <v>87</v>
      </c>
      <c r="K324" t="s">
        <v>1199</v>
      </c>
      <c r="L324" t="s">
        <v>53</v>
      </c>
      <c r="M324" s="2">
        <v>457.90956071664402</v>
      </c>
      <c r="N324" s="2">
        <v>0</v>
      </c>
      <c r="O324" t="s">
        <v>62</v>
      </c>
      <c r="P324">
        <v>0</v>
      </c>
      <c r="Q324" t="s">
        <v>55</v>
      </c>
      <c r="R324" t="s">
        <v>32</v>
      </c>
      <c r="S324" s="2">
        <v>15.1401106786731</v>
      </c>
      <c r="T324" s="2">
        <v>57.688327497694601</v>
      </c>
      <c r="U324" t="str">
        <f>_xlfn.IFS(Table13[[#This Row],[Risk_Score]]&gt;80,"High",AND(Table13[[#This Row],[Risk_Score]]&lt;=80,Table13[[#This Row],[Risk_Score]]&gt;45),"Normal",Table13[[#This Row],[Risk_Score]]&lt;=45,"Low")</f>
        <v>Normal</v>
      </c>
      <c r="V324" s="7">
        <f t="shared" si="5"/>
        <v>457.90956071664402</v>
      </c>
    </row>
    <row r="325" spans="1:22">
      <c r="A325" t="s">
        <v>1200</v>
      </c>
      <c r="B325" t="s">
        <v>184</v>
      </c>
      <c r="C325" t="s">
        <v>85</v>
      </c>
      <c r="D325" s="2">
        <v>48779.511652569498</v>
      </c>
      <c r="E325" s="4">
        <v>45893</v>
      </c>
      <c r="F325" t="s">
        <v>1201</v>
      </c>
      <c r="G325" t="s">
        <v>24</v>
      </c>
      <c r="H325" t="s">
        <v>25</v>
      </c>
      <c r="I325" t="s">
        <v>99</v>
      </c>
      <c r="J325" t="s">
        <v>87</v>
      </c>
      <c r="K325" t="s">
        <v>1202</v>
      </c>
      <c r="L325" t="s">
        <v>53</v>
      </c>
      <c r="M325" s="2">
        <v>1922.21135045456</v>
      </c>
      <c r="N325" s="2">
        <v>192.529027859481</v>
      </c>
      <c r="O325" t="s">
        <v>43</v>
      </c>
      <c r="P325">
        <v>2</v>
      </c>
      <c r="Q325" t="s">
        <v>44</v>
      </c>
      <c r="R325" t="s">
        <v>133</v>
      </c>
      <c r="S325" s="2">
        <v>11.3783111795344</v>
      </c>
      <c r="T325" s="2">
        <v>41.5439016259661</v>
      </c>
      <c r="U325" t="str">
        <f>_xlfn.IFS(Table13[[#This Row],[Risk_Score]]&gt;80,"High",AND(Table13[[#This Row],[Risk_Score]]&lt;=80,Table13[[#This Row],[Risk_Score]]&gt;45),"Normal",Table13[[#This Row],[Risk_Score]]&lt;=45,"Low")</f>
        <v>Low</v>
      </c>
      <c r="V325" s="7">
        <f t="shared" si="5"/>
        <v>1729.68232259508</v>
      </c>
    </row>
    <row r="326" spans="1:22">
      <c r="A326" t="s">
        <v>1203</v>
      </c>
      <c r="B326" t="s">
        <v>890</v>
      </c>
      <c r="C326" t="s">
        <v>22</v>
      </c>
      <c r="D326" s="2">
        <v>48402.9039185613</v>
      </c>
      <c r="E326" s="4">
        <v>45894</v>
      </c>
      <c r="F326" t="s">
        <v>1204</v>
      </c>
      <c r="G326" t="s">
        <v>163</v>
      </c>
      <c r="H326" t="s">
        <v>25</v>
      </c>
      <c r="I326" t="s">
        <v>99</v>
      </c>
      <c r="J326" t="s">
        <v>87</v>
      </c>
      <c r="K326" t="s">
        <v>1205</v>
      </c>
      <c r="L326" t="s">
        <v>53</v>
      </c>
      <c r="M326" s="2">
        <v>3677.6529772925601</v>
      </c>
      <c r="N326" s="2">
        <v>0</v>
      </c>
      <c r="O326" t="s">
        <v>62</v>
      </c>
      <c r="P326">
        <v>2</v>
      </c>
      <c r="Q326" t="s">
        <v>95</v>
      </c>
      <c r="R326" t="s">
        <v>133</v>
      </c>
      <c r="S326" s="2">
        <v>-26.639861463660001</v>
      </c>
      <c r="T326" s="2">
        <v>44.4755898202013</v>
      </c>
      <c r="U326" t="str">
        <f>_xlfn.IFS(Table13[[#This Row],[Risk_Score]]&gt;80,"High",AND(Table13[[#This Row],[Risk_Score]]&lt;=80,Table13[[#This Row],[Risk_Score]]&gt;45),"Normal",Table13[[#This Row],[Risk_Score]]&lt;=45,"Low")</f>
        <v>Low</v>
      </c>
      <c r="V326" s="7">
        <f t="shared" si="5"/>
        <v>3677.6529772925601</v>
      </c>
    </row>
    <row r="327" spans="1:22">
      <c r="A327" t="s">
        <v>1206</v>
      </c>
      <c r="B327" t="s">
        <v>372</v>
      </c>
      <c r="C327" t="s">
        <v>22</v>
      </c>
      <c r="D327" s="2">
        <v>48108.729409629501</v>
      </c>
      <c r="E327" s="4">
        <v>45894</v>
      </c>
      <c r="F327" t="s">
        <v>1207</v>
      </c>
      <c r="G327" t="s">
        <v>24</v>
      </c>
      <c r="H327" t="s">
        <v>38</v>
      </c>
      <c r="I327" t="s">
        <v>99</v>
      </c>
      <c r="J327" t="s">
        <v>60</v>
      </c>
      <c r="K327" t="s">
        <v>1208</v>
      </c>
      <c r="L327" t="s">
        <v>155</v>
      </c>
      <c r="M327" s="2">
        <v>2934.2964254451799</v>
      </c>
      <c r="N327" s="2">
        <v>0</v>
      </c>
      <c r="O327" t="s">
        <v>43</v>
      </c>
      <c r="P327">
        <v>1</v>
      </c>
      <c r="Q327" t="s">
        <v>95</v>
      </c>
      <c r="R327" t="s">
        <v>45</v>
      </c>
      <c r="S327" s="2">
        <v>21.335333644533801</v>
      </c>
      <c r="T327" s="2">
        <v>91.163868973530398</v>
      </c>
      <c r="U327" t="str">
        <f>_xlfn.IFS(Table13[[#This Row],[Risk_Score]]&gt;80,"High",AND(Table13[[#This Row],[Risk_Score]]&lt;=80,Table13[[#This Row],[Risk_Score]]&gt;45),"Normal",Table13[[#This Row],[Risk_Score]]&lt;=45,"Low")</f>
        <v>High</v>
      </c>
      <c r="V327" s="7">
        <f t="shared" si="5"/>
        <v>2934.2964254451799</v>
      </c>
    </row>
    <row r="328" spans="1:22">
      <c r="A328" t="s">
        <v>1209</v>
      </c>
      <c r="B328" t="s">
        <v>1210</v>
      </c>
      <c r="C328" t="s">
        <v>22</v>
      </c>
      <c r="D328" s="2">
        <v>20321.879592581699</v>
      </c>
      <c r="E328" s="4">
        <v>45895</v>
      </c>
      <c r="F328" t="s">
        <v>1211</v>
      </c>
      <c r="G328" t="s">
        <v>24</v>
      </c>
      <c r="H328" t="s">
        <v>25</v>
      </c>
      <c r="I328" t="s">
        <v>26</v>
      </c>
      <c r="J328" t="s">
        <v>60</v>
      </c>
      <c r="K328" t="s">
        <v>1212</v>
      </c>
      <c r="L328" t="s">
        <v>53</v>
      </c>
      <c r="M328" s="2">
        <v>1969.0910164530801</v>
      </c>
      <c r="N328" s="2">
        <v>238.93367745656801</v>
      </c>
      <c r="O328" t="s">
        <v>43</v>
      </c>
      <c r="P328">
        <v>2</v>
      </c>
      <c r="Q328" t="s">
        <v>95</v>
      </c>
      <c r="R328" t="s">
        <v>32</v>
      </c>
      <c r="S328" s="2">
        <v>22.024799829505401</v>
      </c>
      <c r="T328" s="2">
        <v>29.239102384774</v>
      </c>
      <c r="U328" t="str">
        <f>_xlfn.IFS(Table13[[#This Row],[Risk_Score]]&gt;80,"High",AND(Table13[[#This Row],[Risk_Score]]&lt;=80,Table13[[#This Row],[Risk_Score]]&gt;45),"Normal",Table13[[#This Row],[Risk_Score]]&lt;=45,"Low")</f>
        <v>Low</v>
      </c>
      <c r="V328" s="7">
        <f t="shared" si="5"/>
        <v>1730.1573389965099</v>
      </c>
    </row>
    <row r="329" spans="1:22">
      <c r="A329" t="s">
        <v>1213</v>
      </c>
      <c r="B329" t="s">
        <v>984</v>
      </c>
      <c r="C329" t="s">
        <v>35</v>
      </c>
      <c r="D329" s="2">
        <v>34912.329387523801</v>
      </c>
      <c r="E329" s="4">
        <v>45896</v>
      </c>
      <c r="F329" t="s">
        <v>1214</v>
      </c>
      <c r="G329" t="s">
        <v>163</v>
      </c>
      <c r="H329" t="s">
        <v>25</v>
      </c>
      <c r="I329" t="s">
        <v>75</v>
      </c>
      <c r="J329" t="s">
        <v>87</v>
      </c>
      <c r="K329" t="s">
        <v>1215</v>
      </c>
      <c r="L329" t="s">
        <v>120</v>
      </c>
      <c r="M329" s="2">
        <v>3019.84089839228</v>
      </c>
      <c r="N329" s="2">
        <v>0</v>
      </c>
      <c r="O329" t="s">
        <v>43</v>
      </c>
      <c r="P329">
        <v>4</v>
      </c>
      <c r="Q329" t="s">
        <v>1763</v>
      </c>
      <c r="R329" t="s">
        <v>32</v>
      </c>
      <c r="S329" s="2">
        <v>24.695473668367601</v>
      </c>
      <c r="T329" s="2">
        <v>4.0951532149479801</v>
      </c>
      <c r="U329" t="str">
        <f>_xlfn.IFS(Table13[[#This Row],[Risk_Score]]&gt;80,"High",AND(Table13[[#This Row],[Risk_Score]]&lt;=80,Table13[[#This Row],[Risk_Score]]&gt;45),"Normal",Table13[[#This Row],[Risk_Score]]&lt;=45,"Low")</f>
        <v>Low</v>
      </c>
      <c r="V329" s="7">
        <f t="shared" si="5"/>
        <v>3019.84089839228</v>
      </c>
    </row>
    <row r="330" spans="1:22">
      <c r="A330" t="s">
        <v>1216</v>
      </c>
      <c r="B330" t="s">
        <v>1217</v>
      </c>
      <c r="C330" t="s">
        <v>85</v>
      </c>
      <c r="D330" s="2">
        <v>36232.756130729598</v>
      </c>
      <c r="E330" s="4">
        <v>45897</v>
      </c>
      <c r="F330" t="s">
        <v>1218</v>
      </c>
      <c r="G330" t="s">
        <v>37</v>
      </c>
      <c r="H330" t="s">
        <v>25</v>
      </c>
      <c r="I330" t="s">
        <v>99</v>
      </c>
      <c r="J330" t="s">
        <v>60</v>
      </c>
      <c r="K330" t="s">
        <v>784</v>
      </c>
      <c r="L330" t="s">
        <v>29</v>
      </c>
      <c r="M330" s="2">
        <v>2069.0535621110398</v>
      </c>
      <c r="N330" s="2">
        <v>438.56023383114399</v>
      </c>
      <c r="O330" t="s">
        <v>62</v>
      </c>
      <c r="P330">
        <v>4</v>
      </c>
      <c r="Q330" t="s">
        <v>44</v>
      </c>
      <c r="R330" t="s">
        <v>45</v>
      </c>
      <c r="S330" s="2">
        <v>7.8510623187066999</v>
      </c>
      <c r="T330" s="2">
        <v>43.346369973312399</v>
      </c>
      <c r="U330" t="str">
        <f>_xlfn.IFS(Table13[[#This Row],[Risk_Score]]&gt;80,"High",AND(Table13[[#This Row],[Risk_Score]]&lt;=80,Table13[[#This Row],[Risk_Score]]&gt;45),"Normal",Table13[[#This Row],[Risk_Score]]&lt;=45,"Low")</f>
        <v>Low</v>
      </c>
      <c r="V330" s="7">
        <f t="shared" si="5"/>
        <v>1630.4933282799</v>
      </c>
    </row>
    <row r="331" spans="1:22">
      <c r="A331" t="s">
        <v>1219</v>
      </c>
      <c r="B331" t="s">
        <v>139</v>
      </c>
      <c r="C331" t="s">
        <v>22</v>
      </c>
      <c r="D331" s="2">
        <v>37505.849977228499</v>
      </c>
      <c r="E331" s="4">
        <v>45898</v>
      </c>
      <c r="F331" t="s">
        <v>1220</v>
      </c>
      <c r="G331" t="s">
        <v>37</v>
      </c>
      <c r="H331" t="s">
        <v>1762</v>
      </c>
      <c r="I331" t="s">
        <v>26</v>
      </c>
      <c r="J331" t="s">
        <v>60</v>
      </c>
      <c r="K331" t="s">
        <v>1221</v>
      </c>
      <c r="L331" t="s">
        <v>81</v>
      </c>
      <c r="M331" s="2">
        <v>3079.4422232993002</v>
      </c>
      <c r="N331" s="2">
        <v>0</v>
      </c>
      <c r="O331" t="s">
        <v>62</v>
      </c>
      <c r="P331">
        <v>4</v>
      </c>
      <c r="Q331" t="s">
        <v>55</v>
      </c>
      <c r="R331" t="s">
        <v>133</v>
      </c>
      <c r="S331" s="2">
        <v>-14.7139448202828</v>
      </c>
      <c r="T331" s="2">
        <v>71.899075685323297</v>
      </c>
      <c r="U331" t="str">
        <f>_xlfn.IFS(Table13[[#This Row],[Risk_Score]]&gt;80,"High",AND(Table13[[#This Row],[Risk_Score]]&lt;=80,Table13[[#This Row],[Risk_Score]]&gt;45),"Normal",Table13[[#This Row],[Risk_Score]]&lt;=45,"Low")</f>
        <v>Normal</v>
      </c>
      <c r="V331" s="7">
        <f t="shared" si="5"/>
        <v>3079.4422232993002</v>
      </c>
    </row>
    <row r="332" spans="1:22">
      <c r="A332" t="s">
        <v>1222</v>
      </c>
      <c r="B332" t="s">
        <v>721</v>
      </c>
      <c r="C332" t="s">
        <v>48</v>
      </c>
      <c r="D332" s="2">
        <v>49314.224093754099</v>
      </c>
      <c r="E332" s="4">
        <v>45898</v>
      </c>
      <c r="F332" t="s">
        <v>1223</v>
      </c>
      <c r="G332" t="s">
        <v>24</v>
      </c>
      <c r="H332" t="s">
        <v>38</v>
      </c>
      <c r="I332" t="s">
        <v>99</v>
      </c>
      <c r="J332" t="s">
        <v>60</v>
      </c>
      <c r="K332" t="s">
        <v>1199</v>
      </c>
      <c r="L332" t="s">
        <v>42</v>
      </c>
      <c r="M332" s="2">
        <v>2412.1403931189102</v>
      </c>
      <c r="N332" s="2">
        <v>0</v>
      </c>
      <c r="O332" t="s">
        <v>62</v>
      </c>
      <c r="P332">
        <v>2</v>
      </c>
      <c r="Q332" t="s">
        <v>44</v>
      </c>
      <c r="R332" t="s">
        <v>32</v>
      </c>
      <c r="S332" s="2">
        <v>9.1561209129264007</v>
      </c>
      <c r="T332" s="2">
        <v>52.2730678056855</v>
      </c>
      <c r="U332" t="str">
        <f>_xlfn.IFS(Table13[[#This Row],[Risk_Score]]&gt;80,"High",AND(Table13[[#This Row],[Risk_Score]]&lt;=80,Table13[[#This Row],[Risk_Score]]&gt;45),"Normal",Table13[[#This Row],[Risk_Score]]&lt;=45,"Low")</f>
        <v>Normal</v>
      </c>
      <c r="V332" s="7">
        <f t="shared" si="5"/>
        <v>2412.1403931189102</v>
      </c>
    </row>
    <row r="333" spans="1:22">
      <c r="A333" t="s">
        <v>1224</v>
      </c>
      <c r="B333" t="s">
        <v>97</v>
      </c>
      <c r="C333" t="s">
        <v>22</v>
      </c>
      <c r="D333" s="2">
        <v>17029.635170219899</v>
      </c>
      <c r="E333" s="4">
        <v>45899</v>
      </c>
      <c r="F333" t="s">
        <v>1225</v>
      </c>
      <c r="G333" t="s">
        <v>37</v>
      </c>
      <c r="H333" t="s">
        <v>38</v>
      </c>
      <c r="I333" t="s">
        <v>51</v>
      </c>
      <c r="J333" t="s">
        <v>87</v>
      </c>
      <c r="K333" t="s">
        <v>1226</v>
      </c>
      <c r="L333" t="s">
        <v>81</v>
      </c>
      <c r="M333" s="2">
        <v>1604.51684424624</v>
      </c>
      <c r="N333" s="2">
        <v>487.21965531923797</v>
      </c>
      <c r="O333" t="s">
        <v>43</v>
      </c>
      <c r="P333">
        <v>0</v>
      </c>
      <c r="Q333" t="s">
        <v>63</v>
      </c>
      <c r="R333" t="s">
        <v>32</v>
      </c>
      <c r="S333" s="2">
        <v>24.7092956182046</v>
      </c>
      <c r="T333" s="2">
        <v>4.8324408855396896</v>
      </c>
      <c r="U333" t="str">
        <f>_xlfn.IFS(Table13[[#This Row],[Risk_Score]]&gt;80,"High",AND(Table13[[#This Row],[Risk_Score]]&lt;=80,Table13[[#This Row],[Risk_Score]]&gt;45),"Normal",Table13[[#This Row],[Risk_Score]]&lt;=45,"Low")</f>
        <v>Low</v>
      </c>
      <c r="V333" s="7">
        <f t="shared" si="5"/>
        <v>1117.297188927</v>
      </c>
    </row>
    <row r="334" spans="1:22">
      <c r="A334" t="s">
        <v>1227</v>
      </c>
      <c r="B334" t="s">
        <v>391</v>
      </c>
      <c r="C334" t="s">
        <v>48</v>
      </c>
      <c r="D334" s="2">
        <v>37098.899465838404</v>
      </c>
      <c r="E334" s="4">
        <v>45899</v>
      </c>
      <c r="F334" t="s">
        <v>1228</v>
      </c>
      <c r="G334" t="s">
        <v>141</v>
      </c>
      <c r="H334" t="s">
        <v>25</v>
      </c>
      <c r="I334" t="s">
        <v>26</v>
      </c>
      <c r="J334" t="s">
        <v>60</v>
      </c>
      <c r="K334" t="s">
        <v>1229</v>
      </c>
      <c r="L334" t="s">
        <v>29</v>
      </c>
      <c r="M334" s="2">
        <v>3603.7668201534998</v>
      </c>
      <c r="N334" s="2">
        <v>17.188429175862598</v>
      </c>
      <c r="O334" t="s">
        <v>54</v>
      </c>
      <c r="P334">
        <v>2</v>
      </c>
      <c r="Q334" t="s">
        <v>95</v>
      </c>
      <c r="R334" t="s">
        <v>45</v>
      </c>
      <c r="S334" s="2">
        <v>-29.6760874689794</v>
      </c>
      <c r="T334" s="2">
        <v>45.950226657031699</v>
      </c>
      <c r="U334" t="str">
        <f>_xlfn.IFS(Table13[[#This Row],[Risk_Score]]&gt;80,"High",AND(Table13[[#This Row],[Risk_Score]]&lt;=80,Table13[[#This Row],[Risk_Score]]&gt;45),"Normal",Table13[[#This Row],[Risk_Score]]&lt;=45,"Low")</f>
        <v>Normal</v>
      </c>
      <c r="V334" s="7">
        <f t="shared" si="5"/>
        <v>3586.5783909776401</v>
      </c>
    </row>
    <row r="335" spans="1:22">
      <c r="A335" t="s">
        <v>1230</v>
      </c>
      <c r="B335" t="s">
        <v>1231</v>
      </c>
      <c r="C335" t="s">
        <v>48</v>
      </c>
      <c r="D335" s="2">
        <v>7933.18636753807</v>
      </c>
      <c r="E335" s="4">
        <v>45900</v>
      </c>
      <c r="F335" t="s">
        <v>1232</v>
      </c>
      <c r="G335" t="s">
        <v>1763</v>
      </c>
      <c r="H335" t="s">
        <v>38</v>
      </c>
      <c r="I335" t="s">
        <v>99</v>
      </c>
      <c r="J335" t="s">
        <v>87</v>
      </c>
      <c r="K335" t="s">
        <v>1233</v>
      </c>
      <c r="L335" t="s">
        <v>42</v>
      </c>
      <c r="M335" s="2">
        <v>4111.7330893158096</v>
      </c>
      <c r="N335" s="2">
        <v>0</v>
      </c>
      <c r="O335" t="s">
        <v>43</v>
      </c>
      <c r="P335">
        <v>4</v>
      </c>
      <c r="Q335" t="s">
        <v>95</v>
      </c>
      <c r="R335" t="s">
        <v>45</v>
      </c>
      <c r="S335" s="2">
        <v>19.071039804889899</v>
      </c>
      <c r="T335" s="2">
        <v>17.461091698226198</v>
      </c>
      <c r="U335" t="str">
        <f>_xlfn.IFS(Table13[[#This Row],[Risk_Score]]&gt;80,"High",AND(Table13[[#This Row],[Risk_Score]]&lt;=80,Table13[[#This Row],[Risk_Score]]&gt;45),"Normal",Table13[[#This Row],[Risk_Score]]&lt;=45,"Low")</f>
        <v>Low</v>
      </c>
      <c r="V335" s="7">
        <f t="shared" si="5"/>
        <v>4111.7330893158096</v>
      </c>
    </row>
    <row r="336" spans="1:22">
      <c r="A336" t="s">
        <v>1234</v>
      </c>
      <c r="B336" t="s">
        <v>409</v>
      </c>
      <c r="C336" t="s">
        <v>48</v>
      </c>
      <c r="D336" s="2">
        <v>216.735592226335</v>
      </c>
      <c r="E336" s="4">
        <v>45900</v>
      </c>
      <c r="F336" t="s">
        <v>1235</v>
      </c>
      <c r="G336" t="s">
        <v>24</v>
      </c>
      <c r="H336" t="s">
        <v>38</v>
      </c>
      <c r="I336" t="s">
        <v>75</v>
      </c>
      <c r="J336" t="s">
        <v>87</v>
      </c>
      <c r="K336" t="s">
        <v>1236</v>
      </c>
      <c r="L336" t="s">
        <v>53</v>
      </c>
      <c r="M336" s="2">
        <v>2437.2563004036401</v>
      </c>
      <c r="N336" s="2">
        <v>335.38251272151803</v>
      </c>
      <c r="O336" t="s">
        <v>43</v>
      </c>
      <c r="P336">
        <v>0</v>
      </c>
      <c r="Q336" t="s">
        <v>31</v>
      </c>
      <c r="R336" t="s">
        <v>32</v>
      </c>
      <c r="S336" s="2">
        <v>-15.694369262791</v>
      </c>
      <c r="T336" s="2">
        <v>27.138818823676498</v>
      </c>
      <c r="U336" t="str">
        <f>_xlfn.IFS(Table13[[#This Row],[Risk_Score]]&gt;80,"High",AND(Table13[[#This Row],[Risk_Score]]&lt;=80,Table13[[#This Row],[Risk_Score]]&gt;45),"Normal",Table13[[#This Row],[Risk_Score]]&lt;=45,"Low")</f>
        <v>Low</v>
      </c>
      <c r="V336" s="7">
        <f t="shared" si="5"/>
        <v>2101.8737876821201</v>
      </c>
    </row>
    <row r="337" spans="1:22">
      <c r="A337" t="s">
        <v>1237</v>
      </c>
      <c r="B337" t="s">
        <v>813</v>
      </c>
      <c r="C337" t="s">
        <v>48</v>
      </c>
      <c r="D337" s="2">
        <v>26530.117764888499</v>
      </c>
      <c r="E337" s="4">
        <v>45900</v>
      </c>
      <c r="F337" t="s">
        <v>1238</v>
      </c>
      <c r="G337" t="s">
        <v>92</v>
      </c>
      <c r="H337" t="s">
        <v>25</v>
      </c>
      <c r="I337" t="s">
        <v>99</v>
      </c>
      <c r="J337" t="s">
        <v>87</v>
      </c>
      <c r="K337" t="s">
        <v>1239</v>
      </c>
      <c r="L337" t="s">
        <v>42</v>
      </c>
      <c r="M337" s="2">
        <v>316.22072267802099</v>
      </c>
      <c r="N337" s="2">
        <v>0</v>
      </c>
      <c r="O337" t="s">
        <v>54</v>
      </c>
      <c r="P337">
        <v>2</v>
      </c>
      <c r="Q337" t="s">
        <v>44</v>
      </c>
      <c r="R337" t="s">
        <v>32</v>
      </c>
      <c r="S337" s="2">
        <v>-13.697548868754399</v>
      </c>
      <c r="T337" s="2">
        <v>55.985538003447701</v>
      </c>
      <c r="U337" t="str">
        <f>_xlfn.IFS(Table13[[#This Row],[Risk_Score]]&gt;80,"High",AND(Table13[[#This Row],[Risk_Score]]&lt;=80,Table13[[#This Row],[Risk_Score]]&gt;45),"Normal",Table13[[#This Row],[Risk_Score]]&lt;=45,"Low")</f>
        <v>Normal</v>
      </c>
      <c r="V337" s="7">
        <f t="shared" si="5"/>
        <v>316.22072267802099</v>
      </c>
    </row>
    <row r="338" spans="1:22">
      <c r="A338" t="s">
        <v>1240</v>
      </c>
      <c r="B338" t="s">
        <v>1241</v>
      </c>
      <c r="C338" t="s">
        <v>85</v>
      </c>
      <c r="D338" s="2">
        <v>38572.197684220402</v>
      </c>
      <c r="E338" s="4">
        <v>45900</v>
      </c>
      <c r="F338" t="s">
        <v>1242</v>
      </c>
      <c r="G338" t="s">
        <v>172</v>
      </c>
      <c r="H338" t="s">
        <v>1762</v>
      </c>
      <c r="I338" t="s">
        <v>75</v>
      </c>
      <c r="J338" t="s">
        <v>87</v>
      </c>
      <c r="K338" t="s">
        <v>1243</v>
      </c>
      <c r="L338" t="s">
        <v>29</v>
      </c>
      <c r="M338" s="2">
        <v>2940.4004818426201</v>
      </c>
      <c r="N338" s="2">
        <v>327.75498592305598</v>
      </c>
      <c r="O338" t="s">
        <v>54</v>
      </c>
      <c r="P338">
        <v>2</v>
      </c>
      <c r="Q338" t="s">
        <v>55</v>
      </c>
      <c r="R338" t="s">
        <v>32</v>
      </c>
      <c r="S338" s="2">
        <v>14.901650005717199</v>
      </c>
      <c r="T338" s="2">
        <v>27.200257373098999</v>
      </c>
      <c r="U338" t="str">
        <f>_xlfn.IFS(Table13[[#This Row],[Risk_Score]]&gt;80,"High",AND(Table13[[#This Row],[Risk_Score]]&lt;=80,Table13[[#This Row],[Risk_Score]]&gt;45),"Normal",Table13[[#This Row],[Risk_Score]]&lt;=45,"Low")</f>
        <v>Low</v>
      </c>
      <c r="V338" s="7">
        <f t="shared" si="5"/>
        <v>2612.6454959195598</v>
      </c>
    </row>
    <row r="339" spans="1:22">
      <c r="A339" t="s">
        <v>1244</v>
      </c>
      <c r="B339" t="s">
        <v>717</v>
      </c>
      <c r="C339" t="s">
        <v>48</v>
      </c>
      <c r="D339" s="2">
        <v>27417.570714265701</v>
      </c>
      <c r="E339" s="4">
        <v>45902</v>
      </c>
      <c r="F339" t="s">
        <v>1245</v>
      </c>
      <c r="G339" t="s">
        <v>37</v>
      </c>
      <c r="H339" t="s">
        <v>38</v>
      </c>
      <c r="I339" t="s">
        <v>51</v>
      </c>
      <c r="J339" t="s">
        <v>87</v>
      </c>
      <c r="K339" t="s">
        <v>1246</v>
      </c>
      <c r="L339" t="s">
        <v>29</v>
      </c>
      <c r="M339" s="2">
        <v>3950.45216127511</v>
      </c>
      <c r="N339" s="2">
        <v>0</v>
      </c>
      <c r="O339" t="s">
        <v>43</v>
      </c>
      <c r="P339">
        <v>4</v>
      </c>
      <c r="Q339" t="s">
        <v>44</v>
      </c>
      <c r="R339" t="s">
        <v>45</v>
      </c>
      <c r="S339" s="2">
        <v>15.939140202311</v>
      </c>
      <c r="T339" s="2">
        <v>37.2876509202178</v>
      </c>
      <c r="U339" t="str">
        <f>_xlfn.IFS(Table13[[#This Row],[Risk_Score]]&gt;80,"High",AND(Table13[[#This Row],[Risk_Score]]&lt;=80,Table13[[#This Row],[Risk_Score]]&gt;45),"Normal",Table13[[#This Row],[Risk_Score]]&lt;=45,"Low")</f>
        <v>Low</v>
      </c>
      <c r="V339" s="7">
        <f t="shared" si="5"/>
        <v>3950.45216127511</v>
      </c>
    </row>
    <row r="340" spans="1:22">
      <c r="A340" t="s">
        <v>1247</v>
      </c>
      <c r="B340" t="s">
        <v>428</v>
      </c>
      <c r="C340" t="s">
        <v>48</v>
      </c>
      <c r="D340" s="2">
        <v>362.16554606340702</v>
      </c>
      <c r="E340" s="4">
        <v>45903</v>
      </c>
      <c r="F340" t="s">
        <v>1248</v>
      </c>
      <c r="G340" t="s">
        <v>163</v>
      </c>
      <c r="H340" t="s">
        <v>25</v>
      </c>
      <c r="I340" t="s">
        <v>51</v>
      </c>
      <c r="J340" t="s">
        <v>60</v>
      </c>
      <c r="K340" t="s">
        <v>1249</v>
      </c>
      <c r="L340" t="s">
        <v>42</v>
      </c>
      <c r="M340" s="2">
        <v>914.21976367357297</v>
      </c>
      <c r="N340" s="2">
        <v>0</v>
      </c>
      <c r="O340" t="s">
        <v>54</v>
      </c>
      <c r="P340">
        <v>1</v>
      </c>
      <c r="Q340" t="s">
        <v>1763</v>
      </c>
      <c r="R340" t="s">
        <v>133</v>
      </c>
      <c r="S340" s="2">
        <v>6.2246573137953902</v>
      </c>
      <c r="T340" s="2">
        <v>71.098794146368306</v>
      </c>
      <c r="U340" t="str">
        <f>_xlfn.IFS(Table13[[#This Row],[Risk_Score]]&gt;80,"High",AND(Table13[[#This Row],[Risk_Score]]&lt;=80,Table13[[#This Row],[Risk_Score]]&gt;45),"Normal",Table13[[#This Row],[Risk_Score]]&lt;=45,"Low")</f>
        <v>Normal</v>
      </c>
      <c r="V340" s="7">
        <f t="shared" si="5"/>
        <v>914.21976367357297</v>
      </c>
    </row>
    <row r="341" spans="1:22">
      <c r="A341" t="s">
        <v>1250</v>
      </c>
      <c r="B341" t="s">
        <v>312</v>
      </c>
      <c r="C341" t="s">
        <v>85</v>
      </c>
      <c r="D341" s="2">
        <v>32004.1317130147</v>
      </c>
      <c r="E341" s="4">
        <v>45904</v>
      </c>
      <c r="F341" t="s">
        <v>1251</v>
      </c>
      <c r="G341" t="s">
        <v>1763</v>
      </c>
      <c r="H341" t="s">
        <v>1762</v>
      </c>
      <c r="I341" t="s">
        <v>51</v>
      </c>
      <c r="J341" t="s">
        <v>60</v>
      </c>
      <c r="K341" t="s">
        <v>1252</v>
      </c>
      <c r="L341" t="s">
        <v>53</v>
      </c>
      <c r="M341" s="2">
        <v>4611.4912899417204</v>
      </c>
      <c r="N341" s="2">
        <v>34.0186570458348</v>
      </c>
      <c r="O341" t="s">
        <v>43</v>
      </c>
      <c r="P341">
        <v>1</v>
      </c>
      <c r="Q341" t="s">
        <v>44</v>
      </c>
      <c r="R341" t="s">
        <v>133</v>
      </c>
      <c r="S341" s="2">
        <v>-11.3377999643798</v>
      </c>
      <c r="T341" s="2">
        <v>63.854372740191302</v>
      </c>
      <c r="U341" t="str">
        <f>_xlfn.IFS(Table13[[#This Row],[Risk_Score]]&gt;80,"High",AND(Table13[[#This Row],[Risk_Score]]&lt;=80,Table13[[#This Row],[Risk_Score]]&gt;45),"Normal",Table13[[#This Row],[Risk_Score]]&lt;=45,"Low")</f>
        <v>Normal</v>
      </c>
      <c r="V341" s="7">
        <f t="shared" si="5"/>
        <v>4577.4726328958895</v>
      </c>
    </row>
    <row r="342" spans="1:22">
      <c r="A342" t="s">
        <v>1253</v>
      </c>
      <c r="B342" t="s">
        <v>1254</v>
      </c>
      <c r="C342" t="s">
        <v>22</v>
      </c>
      <c r="D342" s="2">
        <v>20485.062817502301</v>
      </c>
      <c r="E342" s="4">
        <v>45906</v>
      </c>
      <c r="F342" t="s">
        <v>1255</v>
      </c>
      <c r="G342" t="s">
        <v>59</v>
      </c>
      <c r="H342" t="s">
        <v>25</v>
      </c>
      <c r="I342" t="s">
        <v>99</v>
      </c>
      <c r="J342" t="s">
        <v>60</v>
      </c>
      <c r="K342" t="s">
        <v>1256</v>
      </c>
      <c r="L342" t="s">
        <v>29</v>
      </c>
      <c r="M342" s="2">
        <v>236.60373832852099</v>
      </c>
      <c r="N342" s="2">
        <v>0</v>
      </c>
      <c r="O342" t="s">
        <v>43</v>
      </c>
      <c r="P342">
        <v>4</v>
      </c>
      <c r="Q342" t="s">
        <v>63</v>
      </c>
      <c r="R342" t="s">
        <v>32</v>
      </c>
      <c r="S342" s="2">
        <v>-28.215824322323801</v>
      </c>
      <c r="T342" s="2">
        <v>92.374313126664902</v>
      </c>
      <c r="U342" t="str">
        <f>_xlfn.IFS(Table13[[#This Row],[Risk_Score]]&gt;80,"High",AND(Table13[[#This Row],[Risk_Score]]&lt;=80,Table13[[#This Row],[Risk_Score]]&gt;45),"Normal",Table13[[#This Row],[Risk_Score]]&lt;=45,"Low")</f>
        <v>High</v>
      </c>
      <c r="V342" s="7">
        <f t="shared" si="5"/>
        <v>236.60373832852099</v>
      </c>
    </row>
    <row r="343" spans="1:22">
      <c r="A343" t="s">
        <v>1257</v>
      </c>
      <c r="B343" t="s">
        <v>528</v>
      </c>
      <c r="C343" t="s">
        <v>22</v>
      </c>
      <c r="D343" s="2">
        <v>17284.7482290072</v>
      </c>
      <c r="E343" s="4">
        <v>45907</v>
      </c>
      <c r="F343" t="s">
        <v>1258</v>
      </c>
      <c r="G343" t="s">
        <v>163</v>
      </c>
      <c r="H343" t="s">
        <v>38</v>
      </c>
      <c r="I343" t="s">
        <v>99</v>
      </c>
      <c r="J343" t="s">
        <v>87</v>
      </c>
      <c r="K343" t="s">
        <v>1259</v>
      </c>
      <c r="L343" t="s">
        <v>120</v>
      </c>
      <c r="M343" s="2">
        <v>3496.15262899039</v>
      </c>
      <c r="N343" s="2">
        <v>0</v>
      </c>
      <c r="O343" t="s">
        <v>43</v>
      </c>
      <c r="P343">
        <v>2</v>
      </c>
      <c r="Q343" t="s">
        <v>63</v>
      </c>
      <c r="R343" t="s">
        <v>32</v>
      </c>
      <c r="S343" s="2">
        <v>19.846043315685598</v>
      </c>
      <c r="T343" s="2">
        <v>53.3478475906293</v>
      </c>
      <c r="U343" t="str">
        <f>_xlfn.IFS(Table13[[#This Row],[Risk_Score]]&gt;80,"High",AND(Table13[[#This Row],[Risk_Score]]&lt;=80,Table13[[#This Row],[Risk_Score]]&gt;45),"Normal",Table13[[#This Row],[Risk_Score]]&lt;=45,"Low")</f>
        <v>Normal</v>
      </c>
      <c r="V343" s="7">
        <f t="shared" si="5"/>
        <v>3496.15262899039</v>
      </c>
    </row>
    <row r="344" spans="1:22">
      <c r="A344" t="s">
        <v>1260</v>
      </c>
      <c r="B344" t="s">
        <v>1261</v>
      </c>
      <c r="C344" t="s">
        <v>48</v>
      </c>
      <c r="D344" s="2">
        <v>37503.957168806002</v>
      </c>
      <c r="E344" s="4">
        <v>45907</v>
      </c>
      <c r="F344" t="s">
        <v>1262</v>
      </c>
      <c r="G344" t="s">
        <v>59</v>
      </c>
      <c r="H344" t="s">
        <v>38</v>
      </c>
      <c r="I344" t="s">
        <v>99</v>
      </c>
      <c r="J344" t="s">
        <v>87</v>
      </c>
      <c r="K344" t="s">
        <v>1263</v>
      </c>
      <c r="L344" t="s">
        <v>53</v>
      </c>
      <c r="M344" s="2">
        <v>707.99381140451396</v>
      </c>
      <c r="N344" s="2">
        <v>0</v>
      </c>
      <c r="O344" t="s">
        <v>62</v>
      </c>
      <c r="P344">
        <v>3</v>
      </c>
      <c r="Q344" t="s">
        <v>44</v>
      </c>
      <c r="R344" t="s">
        <v>45</v>
      </c>
      <c r="S344" s="2">
        <v>25.269764201672899</v>
      </c>
      <c r="T344" s="2">
        <v>93.253608580222405</v>
      </c>
      <c r="U344" t="str">
        <f>_xlfn.IFS(Table13[[#This Row],[Risk_Score]]&gt;80,"High",AND(Table13[[#This Row],[Risk_Score]]&lt;=80,Table13[[#This Row],[Risk_Score]]&gt;45),"Normal",Table13[[#This Row],[Risk_Score]]&lt;=45,"Low")</f>
        <v>High</v>
      </c>
      <c r="V344" s="7">
        <f t="shared" si="5"/>
        <v>707.99381140451396</v>
      </c>
    </row>
    <row r="345" spans="1:22">
      <c r="A345" t="s">
        <v>1264</v>
      </c>
      <c r="B345" t="s">
        <v>685</v>
      </c>
      <c r="C345" t="s">
        <v>48</v>
      </c>
      <c r="D345" s="2">
        <v>28332.2533363314</v>
      </c>
      <c r="E345" s="4">
        <v>45908</v>
      </c>
      <c r="F345" t="s">
        <v>1265</v>
      </c>
      <c r="G345" t="s">
        <v>163</v>
      </c>
      <c r="H345" t="s">
        <v>25</v>
      </c>
      <c r="I345" t="s">
        <v>99</v>
      </c>
      <c r="J345" t="s">
        <v>60</v>
      </c>
      <c r="K345" t="s">
        <v>1266</v>
      </c>
      <c r="L345" t="s">
        <v>29</v>
      </c>
      <c r="M345" s="2">
        <v>3002.3480753970198</v>
      </c>
      <c r="N345" s="2">
        <v>0</v>
      </c>
      <c r="O345" t="s">
        <v>43</v>
      </c>
      <c r="P345">
        <v>0</v>
      </c>
      <c r="Q345" t="s">
        <v>95</v>
      </c>
      <c r="R345" t="s">
        <v>32</v>
      </c>
      <c r="S345" s="2">
        <v>-21.5900739970362</v>
      </c>
      <c r="T345" s="2">
        <v>41.080900100968101</v>
      </c>
      <c r="U345" t="str">
        <f>_xlfn.IFS(Table13[[#This Row],[Risk_Score]]&gt;80,"High",AND(Table13[[#This Row],[Risk_Score]]&lt;=80,Table13[[#This Row],[Risk_Score]]&gt;45),"Normal",Table13[[#This Row],[Risk_Score]]&lt;=45,"Low")</f>
        <v>Low</v>
      </c>
      <c r="V345" s="7">
        <f t="shared" si="5"/>
        <v>3002.3480753970198</v>
      </c>
    </row>
    <row r="346" spans="1:22">
      <c r="A346" t="s">
        <v>1267</v>
      </c>
      <c r="B346" t="s">
        <v>360</v>
      </c>
      <c r="C346" t="s">
        <v>35</v>
      </c>
      <c r="D346" s="2">
        <v>39254.946370821097</v>
      </c>
      <c r="E346" s="4">
        <v>45908</v>
      </c>
      <c r="F346" t="s">
        <v>1268</v>
      </c>
      <c r="G346" t="s">
        <v>172</v>
      </c>
      <c r="H346" t="s">
        <v>38</v>
      </c>
      <c r="I346" t="s">
        <v>51</v>
      </c>
      <c r="J346" t="s">
        <v>60</v>
      </c>
      <c r="K346" t="s">
        <v>1269</v>
      </c>
      <c r="L346" t="s">
        <v>53</v>
      </c>
      <c r="M346" s="2">
        <v>2640.86556608399</v>
      </c>
      <c r="N346" s="2">
        <v>0</v>
      </c>
      <c r="O346" t="s">
        <v>62</v>
      </c>
      <c r="P346">
        <v>1</v>
      </c>
      <c r="Q346" t="s">
        <v>63</v>
      </c>
      <c r="R346" t="s">
        <v>32</v>
      </c>
      <c r="S346" s="2">
        <v>17.260610420145301</v>
      </c>
      <c r="T346" s="2">
        <v>3.9078686001955201</v>
      </c>
      <c r="U346" t="str">
        <f>_xlfn.IFS(Table13[[#This Row],[Risk_Score]]&gt;80,"High",AND(Table13[[#This Row],[Risk_Score]]&lt;=80,Table13[[#This Row],[Risk_Score]]&gt;45),"Normal",Table13[[#This Row],[Risk_Score]]&lt;=45,"Low")</f>
        <v>Low</v>
      </c>
      <c r="V346" s="7">
        <f t="shared" si="5"/>
        <v>2640.86556608399</v>
      </c>
    </row>
    <row r="347" spans="1:22">
      <c r="A347" t="s">
        <v>1270</v>
      </c>
      <c r="B347" t="s">
        <v>135</v>
      </c>
      <c r="C347" t="s">
        <v>85</v>
      </c>
      <c r="D347" s="2">
        <v>27039.045791930599</v>
      </c>
      <c r="E347" s="4">
        <v>45908</v>
      </c>
      <c r="F347" t="s">
        <v>1271</v>
      </c>
      <c r="G347" t="s">
        <v>24</v>
      </c>
      <c r="H347" t="s">
        <v>25</v>
      </c>
      <c r="I347" t="s">
        <v>99</v>
      </c>
      <c r="J347" t="s">
        <v>87</v>
      </c>
      <c r="K347" t="s">
        <v>1272</v>
      </c>
      <c r="L347" t="s">
        <v>120</v>
      </c>
      <c r="M347" s="2">
        <v>2537.2049663256898</v>
      </c>
      <c r="N347" s="2">
        <v>0</v>
      </c>
      <c r="O347" t="s">
        <v>62</v>
      </c>
      <c r="P347">
        <v>4</v>
      </c>
      <c r="Q347" t="s">
        <v>95</v>
      </c>
      <c r="R347" t="s">
        <v>45</v>
      </c>
      <c r="S347" s="2">
        <v>3.2206700123659999</v>
      </c>
      <c r="T347" s="2">
        <v>12.5524181227876</v>
      </c>
      <c r="U347" t="str">
        <f>_xlfn.IFS(Table13[[#This Row],[Risk_Score]]&gt;80,"High",AND(Table13[[#This Row],[Risk_Score]]&lt;=80,Table13[[#This Row],[Risk_Score]]&gt;45),"Normal",Table13[[#This Row],[Risk_Score]]&lt;=45,"Low")</f>
        <v>Low</v>
      </c>
      <c r="V347" s="7">
        <f t="shared" si="5"/>
        <v>2537.2049663256898</v>
      </c>
    </row>
    <row r="348" spans="1:22">
      <c r="A348" t="s">
        <v>1273</v>
      </c>
      <c r="B348" t="s">
        <v>1153</v>
      </c>
      <c r="C348" t="s">
        <v>35</v>
      </c>
      <c r="D348" s="2">
        <v>42555.794140023703</v>
      </c>
      <c r="E348" s="4">
        <v>45908</v>
      </c>
      <c r="F348" t="s">
        <v>1274</v>
      </c>
      <c r="G348" t="s">
        <v>92</v>
      </c>
      <c r="H348" t="s">
        <v>38</v>
      </c>
      <c r="I348" t="s">
        <v>99</v>
      </c>
      <c r="J348" t="s">
        <v>60</v>
      </c>
      <c r="K348" t="s">
        <v>1275</v>
      </c>
      <c r="L348" t="s">
        <v>155</v>
      </c>
      <c r="M348" s="2">
        <v>4273.5502225257296</v>
      </c>
      <c r="N348" s="2">
        <v>0</v>
      </c>
      <c r="O348" t="s">
        <v>62</v>
      </c>
      <c r="P348">
        <v>3</v>
      </c>
      <c r="Q348" t="s">
        <v>95</v>
      </c>
      <c r="R348" t="s">
        <v>32</v>
      </c>
      <c r="S348" s="2">
        <v>28.078187806197299</v>
      </c>
      <c r="T348" s="2">
        <v>56.703278350122801</v>
      </c>
      <c r="U348" t="str">
        <f>_xlfn.IFS(Table13[[#This Row],[Risk_Score]]&gt;80,"High",AND(Table13[[#This Row],[Risk_Score]]&lt;=80,Table13[[#This Row],[Risk_Score]]&gt;45),"Normal",Table13[[#This Row],[Risk_Score]]&lt;=45,"Low")</f>
        <v>Normal</v>
      </c>
      <c r="V348" s="7">
        <f t="shared" si="5"/>
        <v>4273.5502225257296</v>
      </c>
    </row>
    <row r="349" spans="1:22">
      <c r="A349" t="s">
        <v>1276</v>
      </c>
      <c r="B349" t="s">
        <v>440</v>
      </c>
      <c r="C349" t="s">
        <v>85</v>
      </c>
      <c r="D349" s="2">
        <v>6228.2580141021199</v>
      </c>
      <c r="E349" s="4">
        <v>45914</v>
      </c>
      <c r="F349" t="s">
        <v>1277</v>
      </c>
      <c r="G349" t="s">
        <v>172</v>
      </c>
      <c r="H349" t="s">
        <v>25</v>
      </c>
      <c r="I349" t="s">
        <v>75</v>
      </c>
      <c r="J349" t="s">
        <v>87</v>
      </c>
      <c r="K349" t="s">
        <v>1278</v>
      </c>
      <c r="L349" t="s">
        <v>155</v>
      </c>
      <c r="M349" s="2">
        <v>2565.3015073927099</v>
      </c>
      <c r="N349" s="2">
        <v>0</v>
      </c>
      <c r="O349" t="s">
        <v>43</v>
      </c>
      <c r="P349">
        <v>1</v>
      </c>
      <c r="Q349" t="s">
        <v>55</v>
      </c>
      <c r="R349" t="s">
        <v>133</v>
      </c>
      <c r="S349" s="2">
        <v>13.900775927248899</v>
      </c>
      <c r="T349" s="2">
        <v>37.464921901482903</v>
      </c>
      <c r="U349" t="str">
        <f>_xlfn.IFS(Table13[[#This Row],[Risk_Score]]&gt;80,"High",AND(Table13[[#This Row],[Risk_Score]]&lt;=80,Table13[[#This Row],[Risk_Score]]&gt;45),"Normal",Table13[[#This Row],[Risk_Score]]&lt;=45,"Low")</f>
        <v>Low</v>
      </c>
      <c r="V349" s="7">
        <f t="shared" si="5"/>
        <v>2565.3015073927099</v>
      </c>
    </row>
    <row r="350" spans="1:22">
      <c r="A350" t="s">
        <v>1279</v>
      </c>
      <c r="B350" t="s">
        <v>1280</v>
      </c>
      <c r="C350" t="s">
        <v>48</v>
      </c>
      <c r="D350" s="2">
        <v>41414.250270156801</v>
      </c>
      <c r="E350" s="4">
        <v>45915</v>
      </c>
      <c r="F350" t="s">
        <v>1281</v>
      </c>
      <c r="G350" t="s">
        <v>141</v>
      </c>
      <c r="H350" t="s">
        <v>25</v>
      </c>
      <c r="I350" t="s">
        <v>99</v>
      </c>
      <c r="J350" t="s">
        <v>87</v>
      </c>
      <c r="K350" t="s">
        <v>1282</v>
      </c>
      <c r="L350" t="s">
        <v>29</v>
      </c>
      <c r="M350" s="2">
        <v>1372.02128690885</v>
      </c>
      <c r="N350" s="2">
        <v>0</v>
      </c>
      <c r="O350" t="s">
        <v>54</v>
      </c>
      <c r="P350">
        <v>1</v>
      </c>
      <c r="Q350" t="s">
        <v>95</v>
      </c>
      <c r="R350" t="s">
        <v>32</v>
      </c>
      <c r="S350" s="2">
        <v>22.8602450888825</v>
      </c>
      <c r="T350" s="2">
        <v>63.845507065214399</v>
      </c>
      <c r="U350" t="str">
        <f>_xlfn.IFS(Table13[[#This Row],[Risk_Score]]&gt;80,"High",AND(Table13[[#This Row],[Risk_Score]]&lt;=80,Table13[[#This Row],[Risk_Score]]&gt;45),"Normal",Table13[[#This Row],[Risk_Score]]&lt;=45,"Low")</f>
        <v>Normal</v>
      </c>
      <c r="V350" s="7">
        <f t="shared" si="5"/>
        <v>1372.02128690885</v>
      </c>
    </row>
    <row r="351" spans="1:22">
      <c r="A351" t="s">
        <v>1283</v>
      </c>
      <c r="B351" t="s">
        <v>345</v>
      </c>
      <c r="C351" t="s">
        <v>48</v>
      </c>
      <c r="D351" s="2">
        <v>26875.8732347679</v>
      </c>
      <c r="E351" s="4">
        <v>45916</v>
      </c>
      <c r="F351" t="s">
        <v>1284</v>
      </c>
      <c r="G351" t="s">
        <v>68</v>
      </c>
      <c r="H351" t="s">
        <v>38</v>
      </c>
      <c r="I351" t="s">
        <v>99</v>
      </c>
      <c r="J351" t="s">
        <v>60</v>
      </c>
      <c r="K351" t="s">
        <v>1285</v>
      </c>
      <c r="L351" t="s">
        <v>42</v>
      </c>
      <c r="M351" s="2">
        <v>3975.6619904347499</v>
      </c>
      <c r="N351" s="2">
        <v>0</v>
      </c>
      <c r="O351" t="s">
        <v>62</v>
      </c>
      <c r="P351">
        <v>3</v>
      </c>
      <c r="Q351" t="s">
        <v>44</v>
      </c>
      <c r="R351" t="s">
        <v>32</v>
      </c>
      <c r="S351" s="2">
        <v>-2.6340284002445</v>
      </c>
      <c r="T351" s="2">
        <v>29.158812816115699</v>
      </c>
      <c r="U351" t="str">
        <f>_xlfn.IFS(Table13[[#This Row],[Risk_Score]]&gt;80,"High",AND(Table13[[#This Row],[Risk_Score]]&lt;=80,Table13[[#This Row],[Risk_Score]]&gt;45),"Normal",Table13[[#This Row],[Risk_Score]]&lt;=45,"Low")</f>
        <v>Low</v>
      </c>
      <c r="V351" s="7">
        <f t="shared" si="5"/>
        <v>3975.6619904347499</v>
      </c>
    </row>
    <row r="352" spans="1:22">
      <c r="A352" t="s">
        <v>1286</v>
      </c>
      <c r="B352" t="s">
        <v>1116</v>
      </c>
      <c r="C352" t="s">
        <v>85</v>
      </c>
      <c r="D352" s="2">
        <v>6524.5450751522303</v>
      </c>
      <c r="E352" s="4">
        <v>45917</v>
      </c>
      <c r="F352" t="s">
        <v>1287</v>
      </c>
      <c r="G352" t="s">
        <v>59</v>
      </c>
      <c r="H352" t="s">
        <v>25</v>
      </c>
      <c r="I352" t="s">
        <v>99</v>
      </c>
      <c r="J352" t="s">
        <v>60</v>
      </c>
      <c r="K352" t="s">
        <v>1288</v>
      </c>
      <c r="L352" t="s">
        <v>120</v>
      </c>
      <c r="M352" s="2">
        <v>3209.8353582311402</v>
      </c>
      <c r="N352" s="2">
        <v>0</v>
      </c>
      <c r="O352" t="s">
        <v>54</v>
      </c>
      <c r="P352">
        <v>4</v>
      </c>
      <c r="Q352" t="s">
        <v>44</v>
      </c>
      <c r="R352" t="s">
        <v>133</v>
      </c>
      <c r="S352" s="2">
        <v>-3.6895189980617999</v>
      </c>
      <c r="T352" s="2">
        <v>31.6598060410569</v>
      </c>
      <c r="U352" t="str">
        <f>_xlfn.IFS(Table13[[#This Row],[Risk_Score]]&gt;80,"High",AND(Table13[[#This Row],[Risk_Score]]&lt;=80,Table13[[#This Row],[Risk_Score]]&gt;45),"Normal",Table13[[#This Row],[Risk_Score]]&lt;=45,"Low")</f>
        <v>Low</v>
      </c>
      <c r="V352" s="7">
        <f t="shared" si="5"/>
        <v>3209.8353582311402</v>
      </c>
    </row>
    <row r="353" spans="1:22">
      <c r="A353" t="s">
        <v>1289</v>
      </c>
      <c r="B353" t="s">
        <v>961</v>
      </c>
      <c r="C353" t="s">
        <v>48</v>
      </c>
      <c r="D353" s="2">
        <v>38021.774905985498</v>
      </c>
      <c r="E353" s="4">
        <v>45918</v>
      </c>
      <c r="F353" t="s">
        <v>1290</v>
      </c>
      <c r="G353" t="s">
        <v>59</v>
      </c>
      <c r="H353" t="s">
        <v>25</v>
      </c>
      <c r="I353" t="s">
        <v>26</v>
      </c>
      <c r="J353" t="s">
        <v>87</v>
      </c>
      <c r="K353" t="s">
        <v>1291</v>
      </c>
      <c r="L353" t="s">
        <v>155</v>
      </c>
      <c r="M353" s="2">
        <v>4672.6364170889301</v>
      </c>
      <c r="N353" s="2">
        <v>0</v>
      </c>
      <c r="O353" t="s">
        <v>43</v>
      </c>
      <c r="P353">
        <v>0</v>
      </c>
      <c r="Q353" t="s">
        <v>31</v>
      </c>
      <c r="R353" t="s">
        <v>32</v>
      </c>
      <c r="S353" s="2">
        <v>28.8868557257478</v>
      </c>
      <c r="T353" s="2">
        <v>17.244638897385901</v>
      </c>
      <c r="U353" t="str">
        <f>_xlfn.IFS(Table13[[#This Row],[Risk_Score]]&gt;80,"High",AND(Table13[[#This Row],[Risk_Score]]&lt;=80,Table13[[#This Row],[Risk_Score]]&gt;45),"Normal",Table13[[#This Row],[Risk_Score]]&lt;=45,"Low")</f>
        <v>Low</v>
      </c>
      <c r="V353" s="7">
        <f t="shared" si="5"/>
        <v>4672.6364170889301</v>
      </c>
    </row>
    <row r="354" spans="1:22">
      <c r="A354" t="s">
        <v>1292</v>
      </c>
      <c r="B354" t="s">
        <v>463</v>
      </c>
      <c r="C354" t="s">
        <v>22</v>
      </c>
      <c r="D354" s="2">
        <v>46691.222005617703</v>
      </c>
      <c r="E354" s="4">
        <v>45918</v>
      </c>
      <c r="F354" t="s">
        <v>1293</v>
      </c>
      <c r="G354" t="s">
        <v>181</v>
      </c>
      <c r="H354" t="s">
        <v>38</v>
      </c>
      <c r="I354" t="s">
        <v>99</v>
      </c>
      <c r="J354" t="s">
        <v>87</v>
      </c>
      <c r="K354" t="s">
        <v>1294</v>
      </c>
      <c r="L354" t="s">
        <v>29</v>
      </c>
      <c r="M354" s="2">
        <v>2673.8091525060699</v>
      </c>
      <c r="N354" s="2">
        <v>0</v>
      </c>
      <c r="O354" t="s">
        <v>62</v>
      </c>
      <c r="P354">
        <v>3</v>
      </c>
      <c r="Q354" t="s">
        <v>55</v>
      </c>
      <c r="R354" t="s">
        <v>133</v>
      </c>
      <c r="S354" s="2">
        <v>-29.320044407730801</v>
      </c>
      <c r="T354" s="2">
        <v>63.9775201570422</v>
      </c>
      <c r="U354" t="str">
        <f>_xlfn.IFS(Table13[[#This Row],[Risk_Score]]&gt;80,"High",AND(Table13[[#This Row],[Risk_Score]]&lt;=80,Table13[[#This Row],[Risk_Score]]&gt;45),"Normal",Table13[[#This Row],[Risk_Score]]&lt;=45,"Low")</f>
        <v>Normal</v>
      </c>
      <c r="V354" s="7">
        <f t="shared" si="5"/>
        <v>2673.8091525060699</v>
      </c>
    </row>
    <row r="355" spans="1:22">
      <c r="A355" t="s">
        <v>1295</v>
      </c>
      <c r="B355" t="s">
        <v>589</v>
      </c>
      <c r="C355" t="s">
        <v>35</v>
      </c>
      <c r="D355" s="2">
        <v>3889.07717744414</v>
      </c>
      <c r="E355" s="4">
        <v>45919</v>
      </c>
      <c r="F355" t="s">
        <v>1296</v>
      </c>
      <c r="G355" t="s">
        <v>181</v>
      </c>
      <c r="H355" t="s">
        <v>38</v>
      </c>
      <c r="I355" t="s">
        <v>99</v>
      </c>
      <c r="J355" t="s">
        <v>60</v>
      </c>
      <c r="K355" t="s">
        <v>1297</v>
      </c>
      <c r="L355" t="s">
        <v>29</v>
      </c>
      <c r="M355" s="2">
        <v>3969.8620527888602</v>
      </c>
      <c r="N355" s="2">
        <v>38.484591504008698</v>
      </c>
      <c r="O355" t="s">
        <v>54</v>
      </c>
      <c r="P355">
        <v>3</v>
      </c>
      <c r="Q355" t="s">
        <v>63</v>
      </c>
      <c r="R355" t="s">
        <v>45</v>
      </c>
      <c r="S355" s="2">
        <v>27.6800778716884</v>
      </c>
      <c r="T355" s="2">
        <v>74.412668571436996</v>
      </c>
      <c r="U355" t="str">
        <f>_xlfn.IFS(Table13[[#This Row],[Risk_Score]]&gt;80,"High",AND(Table13[[#This Row],[Risk_Score]]&lt;=80,Table13[[#This Row],[Risk_Score]]&gt;45),"Normal",Table13[[#This Row],[Risk_Score]]&lt;=45,"Low")</f>
        <v>Normal</v>
      </c>
      <c r="V355" s="7">
        <f t="shared" si="5"/>
        <v>3931.3774612848501</v>
      </c>
    </row>
    <row r="356" spans="1:22">
      <c r="A356" t="s">
        <v>1298</v>
      </c>
      <c r="B356" t="s">
        <v>223</v>
      </c>
      <c r="C356" t="s">
        <v>22</v>
      </c>
      <c r="D356" s="2">
        <v>31275.587425058198</v>
      </c>
      <c r="E356" s="4">
        <v>45919</v>
      </c>
      <c r="F356" t="s">
        <v>1299</v>
      </c>
      <c r="G356" t="s">
        <v>24</v>
      </c>
      <c r="H356" t="s">
        <v>1763</v>
      </c>
      <c r="I356" t="s">
        <v>51</v>
      </c>
      <c r="J356" t="s">
        <v>87</v>
      </c>
      <c r="K356" t="s">
        <v>1300</v>
      </c>
      <c r="L356" t="s">
        <v>42</v>
      </c>
      <c r="M356" s="2">
        <v>2745.7474711182099</v>
      </c>
      <c r="N356" s="2">
        <v>0</v>
      </c>
      <c r="O356" t="s">
        <v>54</v>
      </c>
      <c r="P356">
        <v>4</v>
      </c>
      <c r="Q356" s="1" t="s">
        <v>95</v>
      </c>
      <c r="R356" t="s">
        <v>45</v>
      </c>
      <c r="S356" s="2">
        <v>-27.592522784339401</v>
      </c>
      <c r="T356" s="2">
        <v>98.190532228694295</v>
      </c>
      <c r="U356" t="str">
        <f>_xlfn.IFS(Table13[[#This Row],[Risk_Score]]&gt;80,"High",AND(Table13[[#This Row],[Risk_Score]]&lt;=80,Table13[[#This Row],[Risk_Score]]&gt;45),"Normal",Table13[[#This Row],[Risk_Score]]&lt;=45,"Low")</f>
        <v>High</v>
      </c>
      <c r="V356" s="7">
        <f t="shared" si="5"/>
        <v>2745.7474711182099</v>
      </c>
    </row>
    <row r="357" spans="1:22">
      <c r="A357" t="s">
        <v>1301</v>
      </c>
      <c r="B357" t="s">
        <v>312</v>
      </c>
      <c r="C357" t="s">
        <v>35</v>
      </c>
      <c r="D357" s="2">
        <v>46209.683779460902</v>
      </c>
      <c r="E357" s="4">
        <v>45919</v>
      </c>
      <c r="F357" t="s">
        <v>1302</v>
      </c>
      <c r="G357" t="s">
        <v>68</v>
      </c>
      <c r="H357" t="s">
        <v>1762</v>
      </c>
      <c r="I357" t="s">
        <v>75</v>
      </c>
      <c r="J357" t="s">
        <v>87</v>
      </c>
      <c r="K357" t="s">
        <v>1303</v>
      </c>
      <c r="L357" t="s">
        <v>42</v>
      </c>
      <c r="M357" s="2">
        <v>4907.1459074045397</v>
      </c>
      <c r="N357" s="2">
        <v>0</v>
      </c>
      <c r="O357" t="s">
        <v>43</v>
      </c>
      <c r="P357">
        <v>0</v>
      </c>
      <c r="Q357" t="s">
        <v>55</v>
      </c>
      <c r="R357" t="s">
        <v>45</v>
      </c>
      <c r="S357" s="2">
        <v>-6.1335989081376203</v>
      </c>
      <c r="T357" s="2">
        <v>26.689928809877198</v>
      </c>
      <c r="U357" t="str">
        <f>_xlfn.IFS(Table13[[#This Row],[Risk_Score]]&gt;80,"High",AND(Table13[[#This Row],[Risk_Score]]&lt;=80,Table13[[#This Row],[Risk_Score]]&gt;45),"Normal",Table13[[#This Row],[Risk_Score]]&lt;=45,"Low")</f>
        <v>Low</v>
      </c>
      <c r="V357" s="7">
        <f t="shared" si="5"/>
        <v>4907.1459074045397</v>
      </c>
    </row>
    <row r="358" spans="1:22">
      <c r="A358" t="s">
        <v>1304</v>
      </c>
      <c r="B358" t="s">
        <v>850</v>
      </c>
      <c r="C358" t="s">
        <v>22</v>
      </c>
      <c r="D358" s="2">
        <v>10055.3956741822</v>
      </c>
      <c r="E358" s="4">
        <v>45919</v>
      </c>
      <c r="F358" t="s">
        <v>1305</v>
      </c>
      <c r="G358" t="s">
        <v>24</v>
      </c>
      <c r="H358" t="s">
        <v>1762</v>
      </c>
      <c r="I358" t="s">
        <v>26</v>
      </c>
      <c r="J358" t="s">
        <v>87</v>
      </c>
      <c r="K358" t="s">
        <v>1306</v>
      </c>
      <c r="L358" t="s">
        <v>42</v>
      </c>
      <c r="M358" s="2">
        <v>3627.78377307653</v>
      </c>
      <c r="N358" s="2">
        <v>284.65249220610099</v>
      </c>
      <c r="O358" t="s">
        <v>43</v>
      </c>
      <c r="P358">
        <v>2</v>
      </c>
      <c r="Q358" t="s">
        <v>95</v>
      </c>
      <c r="R358" t="s">
        <v>133</v>
      </c>
      <c r="S358" s="2">
        <v>2.1222523583036601</v>
      </c>
      <c r="T358" s="2">
        <v>1.37331880825783</v>
      </c>
      <c r="U358" t="str">
        <f>_xlfn.IFS(Table13[[#This Row],[Risk_Score]]&gt;80,"High",AND(Table13[[#This Row],[Risk_Score]]&lt;=80,Table13[[#This Row],[Risk_Score]]&gt;45),"Normal",Table13[[#This Row],[Risk_Score]]&lt;=45,"Low")</f>
        <v>Low</v>
      </c>
      <c r="V358" s="7">
        <f t="shared" si="5"/>
        <v>3343.1312808704301</v>
      </c>
    </row>
    <row r="359" spans="1:22">
      <c r="A359" t="s">
        <v>1307</v>
      </c>
      <c r="B359" t="s">
        <v>126</v>
      </c>
      <c r="C359" t="s">
        <v>22</v>
      </c>
      <c r="D359" s="2">
        <v>42037.937635823102</v>
      </c>
      <c r="E359" s="4">
        <v>45919</v>
      </c>
      <c r="F359" t="s">
        <v>1308</v>
      </c>
      <c r="G359" t="s">
        <v>59</v>
      </c>
      <c r="H359" t="s">
        <v>38</v>
      </c>
      <c r="I359" t="s">
        <v>99</v>
      </c>
      <c r="J359" t="s">
        <v>87</v>
      </c>
      <c r="K359" t="s">
        <v>1309</v>
      </c>
      <c r="L359" t="s">
        <v>42</v>
      </c>
      <c r="M359" s="2">
        <v>2543.2586161747799</v>
      </c>
      <c r="N359" s="2">
        <v>0</v>
      </c>
      <c r="O359" t="s">
        <v>43</v>
      </c>
      <c r="P359">
        <v>2</v>
      </c>
      <c r="Q359" t="s">
        <v>55</v>
      </c>
      <c r="R359" t="s">
        <v>32</v>
      </c>
      <c r="S359" s="2">
        <v>-6.5948376731871798</v>
      </c>
      <c r="T359" s="2">
        <v>57.483903785987501</v>
      </c>
      <c r="U359" t="str">
        <f>_xlfn.IFS(Table13[[#This Row],[Risk_Score]]&gt;80,"High",AND(Table13[[#This Row],[Risk_Score]]&lt;=80,Table13[[#This Row],[Risk_Score]]&gt;45),"Normal",Table13[[#This Row],[Risk_Score]]&lt;=45,"Low")</f>
        <v>Normal</v>
      </c>
      <c r="V359" s="7">
        <f t="shared" si="5"/>
        <v>2543.2586161747799</v>
      </c>
    </row>
    <row r="360" spans="1:22">
      <c r="A360" t="s">
        <v>1310</v>
      </c>
      <c r="B360" t="s">
        <v>1037</v>
      </c>
      <c r="C360" t="s">
        <v>1763</v>
      </c>
      <c r="D360" s="2">
        <v>17325.088029575702</v>
      </c>
      <c r="E360" s="4">
        <v>45921</v>
      </c>
      <c r="F360" t="s">
        <v>1311</v>
      </c>
      <c r="G360" t="s">
        <v>163</v>
      </c>
      <c r="H360" t="s">
        <v>25</v>
      </c>
      <c r="I360" t="s">
        <v>99</v>
      </c>
      <c r="J360" t="s">
        <v>60</v>
      </c>
      <c r="K360" t="s">
        <v>1312</v>
      </c>
      <c r="L360" t="s">
        <v>53</v>
      </c>
      <c r="M360" s="2">
        <v>1967.9589959176899</v>
      </c>
      <c r="N360" s="2">
        <v>19.973986643047201</v>
      </c>
      <c r="O360" t="s">
        <v>54</v>
      </c>
      <c r="P360">
        <v>0</v>
      </c>
      <c r="Q360" t="s">
        <v>44</v>
      </c>
      <c r="R360" t="s">
        <v>133</v>
      </c>
      <c r="S360" s="2">
        <v>11.890431642894301</v>
      </c>
      <c r="T360" s="2">
        <v>93.581562411114604</v>
      </c>
      <c r="U360" t="str">
        <f>_xlfn.IFS(Table13[[#This Row],[Risk_Score]]&gt;80,"High",AND(Table13[[#This Row],[Risk_Score]]&lt;=80,Table13[[#This Row],[Risk_Score]]&gt;45),"Normal",Table13[[#This Row],[Risk_Score]]&lt;=45,"Low")</f>
        <v>High</v>
      </c>
      <c r="V360" s="7">
        <f t="shared" si="5"/>
        <v>1947.9850092746401</v>
      </c>
    </row>
    <row r="361" spans="1:22">
      <c r="A361" t="s">
        <v>1313</v>
      </c>
      <c r="B361" t="s">
        <v>1314</v>
      </c>
      <c r="C361" t="s">
        <v>35</v>
      </c>
      <c r="D361" s="2">
        <v>20621.630317609899</v>
      </c>
      <c r="E361" s="4">
        <v>45923</v>
      </c>
      <c r="F361" t="s">
        <v>1315</v>
      </c>
      <c r="G361" t="s">
        <v>181</v>
      </c>
      <c r="H361" t="s">
        <v>1762</v>
      </c>
      <c r="I361" t="s">
        <v>99</v>
      </c>
      <c r="J361" t="s">
        <v>87</v>
      </c>
      <c r="K361" t="s">
        <v>321</v>
      </c>
      <c r="L361" t="s">
        <v>81</v>
      </c>
      <c r="M361" s="2">
        <v>4435.2742777122503</v>
      </c>
      <c r="N361" s="2">
        <v>0</v>
      </c>
      <c r="O361" t="s">
        <v>62</v>
      </c>
      <c r="P361">
        <v>0</v>
      </c>
      <c r="Q361" t="s">
        <v>44</v>
      </c>
      <c r="R361" t="s">
        <v>32</v>
      </c>
      <c r="S361" s="2">
        <v>-28.833224494827199</v>
      </c>
      <c r="T361" s="2">
        <v>62.231663724855203</v>
      </c>
      <c r="U361" t="str">
        <f>_xlfn.IFS(Table13[[#This Row],[Risk_Score]]&gt;80,"High",AND(Table13[[#This Row],[Risk_Score]]&lt;=80,Table13[[#This Row],[Risk_Score]]&gt;45),"Normal",Table13[[#This Row],[Risk_Score]]&lt;=45,"Low")</f>
        <v>Normal</v>
      </c>
      <c r="V361" s="7">
        <f t="shared" si="5"/>
        <v>4435.2742777122503</v>
      </c>
    </row>
    <row r="362" spans="1:22">
      <c r="A362" t="s">
        <v>1316</v>
      </c>
      <c r="B362" t="s">
        <v>192</v>
      </c>
      <c r="C362" t="s">
        <v>85</v>
      </c>
      <c r="D362" s="2">
        <v>39843.9416061265</v>
      </c>
      <c r="E362" s="4">
        <v>45923</v>
      </c>
      <c r="F362" t="s">
        <v>1317</v>
      </c>
      <c r="G362" t="s">
        <v>59</v>
      </c>
      <c r="H362" t="s">
        <v>38</v>
      </c>
      <c r="I362" t="s">
        <v>75</v>
      </c>
      <c r="J362" t="s">
        <v>87</v>
      </c>
      <c r="K362" t="s">
        <v>1318</v>
      </c>
      <c r="L362" t="s">
        <v>42</v>
      </c>
      <c r="M362" s="2">
        <v>2453.95198340467</v>
      </c>
      <c r="N362" s="2">
        <v>0</v>
      </c>
      <c r="O362" t="s">
        <v>62</v>
      </c>
      <c r="P362">
        <v>0</v>
      </c>
      <c r="Q362" t="s">
        <v>31</v>
      </c>
      <c r="R362" t="s">
        <v>32</v>
      </c>
      <c r="S362" s="2">
        <v>3.24756980149645</v>
      </c>
      <c r="T362" s="2">
        <v>52.731967959986001</v>
      </c>
      <c r="U362" t="str">
        <f>_xlfn.IFS(Table13[[#This Row],[Risk_Score]]&gt;80,"High",AND(Table13[[#This Row],[Risk_Score]]&lt;=80,Table13[[#This Row],[Risk_Score]]&gt;45),"Normal",Table13[[#This Row],[Risk_Score]]&lt;=45,"Low")</f>
        <v>Normal</v>
      </c>
      <c r="V362" s="7">
        <f t="shared" si="5"/>
        <v>2453.95198340467</v>
      </c>
    </row>
    <row r="363" spans="1:22">
      <c r="A363" t="s">
        <v>1319</v>
      </c>
      <c r="B363" t="s">
        <v>436</v>
      </c>
      <c r="C363" t="s">
        <v>48</v>
      </c>
      <c r="D363" s="2">
        <v>3867.6178538140698</v>
      </c>
      <c r="E363" s="4">
        <v>45924</v>
      </c>
      <c r="F363" t="s">
        <v>1320</v>
      </c>
      <c r="G363" t="s">
        <v>50</v>
      </c>
      <c r="H363" t="s">
        <v>1762</v>
      </c>
      <c r="I363" t="s">
        <v>51</v>
      </c>
      <c r="J363" t="s">
        <v>60</v>
      </c>
      <c r="K363" t="s">
        <v>1321</v>
      </c>
      <c r="L363" t="s">
        <v>120</v>
      </c>
      <c r="M363" s="2">
        <v>2246.6681285066102</v>
      </c>
      <c r="N363" s="2">
        <v>498.83613163233002</v>
      </c>
      <c r="O363" t="s">
        <v>62</v>
      </c>
      <c r="P363">
        <v>1</v>
      </c>
      <c r="Q363" t="s">
        <v>31</v>
      </c>
      <c r="R363" t="s">
        <v>32</v>
      </c>
      <c r="S363" s="2">
        <v>3.2580423508771501</v>
      </c>
      <c r="T363" s="2">
        <v>31.410981908937099</v>
      </c>
      <c r="U363" t="str">
        <f>_xlfn.IFS(Table13[[#This Row],[Risk_Score]]&gt;80,"High",AND(Table13[[#This Row],[Risk_Score]]&lt;=80,Table13[[#This Row],[Risk_Score]]&gt;45),"Normal",Table13[[#This Row],[Risk_Score]]&lt;=45,"Low")</f>
        <v>Low</v>
      </c>
      <c r="V363" s="7">
        <f t="shared" si="5"/>
        <v>1747.8319968742801</v>
      </c>
    </row>
    <row r="364" spans="1:22">
      <c r="A364" t="s">
        <v>1322</v>
      </c>
      <c r="B364" t="s">
        <v>1323</v>
      </c>
      <c r="C364" t="s">
        <v>85</v>
      </c>
      <c r="D364" s="2">
        <v>24031.146877537099</v>
      </c>
      <c r="E364" s="4">
        <v>45924</v>
      </c>
      <c r="F364" t="s">
        <v>1324</v>
      </c>
      <c r="G364" t="s">
        <v>24</v>
      </c>
      <c r="H364" t="s">
        <v>25</v>
      </c>
      <c r="I364" t="s">
        <v>99</v>
      </c>
      <c r="J364" t="s">
        <v>87</v>
      </c>
      <c r="K364" t="s">
        <v>1325</v>
      </c>
      <c r="L364" t="s">
        <v>120</v>
      </c>
      <c r="M364" s="2">
        <v>1315.41351428704</v>
      </c>
      <c r="N364" s="2">
        <v>0</v>
      </c>
      <c r="O364" t="s">
        <v>43</v>
      </c>
      <c r="P364">
        <v>2</v>
      </c>
      <c r="Q364" t="s">
        <v>55</v>
      </c>
      <c r="R364" t="s">
        <v>45</v>
      </c>
      <c r="S364" s="2">
        <v>-0.55833924438096005</v>
      </c>
      <c r="T364" s="2">
        <v>34.021623845533497</v>
      </c>
      <c r="U364" t="str">
        <f>_xlfn.IFS(Table13[[#This Row],[Risk_Score]]&gt;80,"High",AND(Table13[[#This Row],[Risk_Score]]&lt;=80,Table13[[#This Row],[Risk_Score]]&gt;45),"Normal",Table13[[#This Row],[Risk_Score]]&lt;=45,"Low")</f>
        <v>Low</v>
      </c>
      <c r="V364" s="7">
        <f t="shared" si="5"/>
        <v>1315.41351428704</v>
      </c>
    </row>
    <row r="365" spans="1:22">
      <c r="A365" t="s">
        <v>1326</v>
      </c>
      <c r="B365" t="s">
        <v>685</v>
      </c>
      <c r="C365" t="s">
        <v>22</v>
      </c>
      <c r="D365" s="2">
        <v>15798.3681847896</v>
      </c>
      <c r="E365" s="4">
        <v>45925</v>
      </c>
      <c r="F365" t="s">
        <v>1327</v>
      </c>
      <c r="G365" t="s">
        <v>172</v>
      </c>
      <c r="H365" t="s">
        <v>1762</v>
      </c>
      <c r="I365" t="s">
        <v>26</v>
      </c>
      <c r="J365" t="s">
        <v>60</v>
      </c>
      <c r="K365" t="s">
        <v>1328</v>
      </c>
      <c r="L365" t="s">
        <v>120</v>
      </c>
      <c r="M365" s="2">
        <v>3573.3008277051999</v>
      </c>
      <c r="N365" s="2">
        <v>0</v>
      </c>
      <c r="O365" t="s">
        <v>43</v>
      </c>
      <c r="P365">
        <v>2</v>
      </c>
      <c r="Q365" t="s">
        <v>55</v>
      </c>
      <c r="R365" t="s">
        <v>133</v>
      </c>
      <c r="S365" s="2">
        <v>4.3609689514013699</v>
      </c>
      <c r="T365" s="2">
        <v>11.2796918866577</v>
      </c>
      <c r="U365" t="str">
        <f>_xlfn.IFS(Table13[[#This Row],[Risk_Score]]&gt;80,"High",AND(Table13[[#This Row],[Risk_Score]]&lt;=80,Table13[[#This Row],[Risk_Score]]&gt;45),"Normal",Table13[[#This Row],[Risk_Score]]&lt;=45,"Low")</f>
        <v>Low</v>
      </c>
      <c r="V365" s="7">
        <f t="shared" si="5"/>
        <v>3573.3008277051999</v>
      </c>
    </row>
    <row r="366" spans="1:22">
      <c r="A366" t="s">
        <v>1329</v>
      </c>
      <c r="B366" t="s">
        <v>1330</v>
      </c>
      <c r="C366" s="1" t="s">
        <v>35</v>
      </c>
      <c r="D366" s="2">
        <v>22767.9718137331</v>
      </c>
      <c r="E366" s="4">
        <v>45926</v>
      </c>
      <c r="F366" t="s">
        <v>1331</v>
      </c>
      <c r="G366" t="s">
        <v>68</v>
      </c>
      <c r="H366" t="s">
        <v>38</v>
      </c>
      <c r="I366" t="s">
        <v>99</v>
      </c>
      <c r="J366" t="s">
        <v>60</v>
      </c>
      <c r="K366" t="s">
        <v>1332</v>
      </c>
      <c r="L366" t="s">
        <v>42</v>
      </c>
      <c r="M366" s="2">
        <v>584.74333958331704</v>
      </c>
      <c r="N366" s="2">
        <v>0</v>
      </c>
      <c r="O366" t="s">
        <v>43</v>
      </c>
      <c r="P366">
        <v>2</v>
      </c>
      <c r="Q366" t="s">
        <v>63</v>
      </c>
      <c r="R366" t="s">
        <v>32</v>
      </c>
      <c r="S366" s="2">
        <v>25.498616894102099</v>
      </c>
      <c r="T366" s="2">
        <v>55.947525945634602</v>
      </c>
      <c r="U366" t="str">
        <f>_xlfn.IFS(Table13[[#This Row],[Risk_Score]]&gt;80,"High",AND(Table13[[#This Row],[Risk_Score]]&lt;=80,Table13[[#This Row],[Risk_Score]]&gt;45),"Normal",Table13[[#This Row],[Risk_Score]]&lt;=45,"Low")</f>
        <v>Normal</v>
      </c>
      <c r="V366" s="7">
        <f t="shared" si="5"/>
        <v>584.74333958331704</v>
      </c>
    </row>
    <row r="367" spans="1:22">
      <c r="A367" t="s">
        <v>1333</v>
      </c>
      <c r="B367" t="s">
        <v>949</v>
      </c>
      <c r="C367" t="s">
        <v>48</v>
      </c>
      <c r="D367" s="2">
        <v>40271.728909216203</v>
      </c>
      <c r="E367" s="4">
        <v>45926</v>
      </c>
      <c r="F367" t="s">
        <v>1334</v>
      </c>
      <c r="G367" t="s">
        <v>24</v>
      </c>
      <c r="H367" t="s">
        <v>1762</v>
      </c>
      <c r="I367" t="s">
        <v>99</v>
      </c>
      <c r="J367" t="s">
        <v>87</v>
      </c>
      <c r="K367" t="s">
        <v>1335</v>
      </c>
      <c r="L367" t="s">
        <v>42</v>
      </c>
      <c r="M367" s="2">
        <v>4069.7841744929601</v>
      </c>
      <c r="N367" s="2">
        <v>0</v>
      </c>
      <c r="O367" t="s">
        <v>43</v>
      </c>
      <c r="P367">
        <v>0</v>
      </c>
      <c r="Q367" t="s">
        <v>44</v>
      </c>
      <c r="R367" t="s">
        <v>133</v>
      </c>
      <c r="S367" s="2">
        <v>-10.3864042166636</v>
      </c>
      <c r="T367" s="2">
        <v>5.0596853676581697</v>
      </c>
      <c r="U367" t="str">
        <f>_xlfn.IFS(Table13[[#This Row],[Risk_Score]]&gt;80,"High",AND(Table13[[#This Row],[Risk_Score]]&lt;=80,Table13[[#This Row],[Risk_Score]]&gt;45),"Normal",Table13[[#This Row],[Risk_Score]]&lt;=45,"Low")</f>
        <v>Low</v>
      </c>
      <c r="V367" s="7">
        <f t="shared" si="5"/>
        <v>4069.7841744929601</v>
      </c>
    </row>
    <row r="368" spans="1:22">
      <c r="A368" t="s">
        <v>1336</v>
      </c>
      <c r="B368" t="s">
        <v>1337</v>
      </c>
      <c r="C368" t="s">
        <v>35</v>
      </c>
      <c r="D368" s="2">
        <v>4551.2960027316003</v>
      </c>
      <c r="E368" s="4">
        <v>45926</v>
      </c>
      <c r="F368" t="s">
        <v>1338</v>
      </c>
      <c r="G368" t="s">
        <v>92</v>
      </c>
      <c r="H368" t="s">
        <v>25</v>
      </c>
      <c r="I368" t="s">
        <v>51</v>
      </c>
      <c r="J368" t="s">
        <v>60</v>
      </c>
      <c r="K368" t="s">
        <v>1339</v>
      </c>
      <c r="L368" t="s">
        <v>42</v>
      </c>
      <c r="M368" s="2">
        <v>704.825340872639</v>
      </c>
      <c r="N368" s="2">
        <v>346.46011461239402</v>
      </c>
      <c r="O368" t="s">
        <v>62</v>
      </c>
      <c r="P368">
        <v>1</v>
      </c>
      <c r="Q368" t="s">
        <v>44</v>
      </c>
      <c r="R368" t="s">
        <v>45</v>
      </c>
      <c r="S368" s="2">
        <v>-14.094649874877801</v>
      </c>
      <c r="T368" s="2">
        <v>26.4649504998761</v>
      </c>
      <c r="U368" t="str">
        <f>_xlfn.IFS(Table13[[#This Row],[Risk_Score]]&gt;80,"High",AND(Table13[[#This Row],[Risk_Score]]&lt;=80,Table13[[#This Row],[Risk_Score]]&gt;45),"Normal",Table13[[#This Row],[Risk_Score]]&lt;=45,"Low")</f>
        <v>Low</v>
      </c>
      <c r="V368" s="7">
        <f t="shared" si="5"/>
        <v>358.36522626024498</v>
      </c>
    </row>
    <row r="369" spans="1:22">
      <c r="A369" t="s">
        <v>1340</v>
      </c>
      <c r="B369" t="s">
        <v>782</v>
      </c>
      <c r="C369" t="s">
        <v>48</v>
      </c>
      <c r="D369" s="2">
        <v>5235.5099341328396</v>
      </c>
      <c r="E369" s="4">
        <v>45927</v>
      </c>
      <c r="F369" t="s">
        <v>1341</v>
      </c>
      <c r="G369" t="s">
        <v>181</v>
      </c>
      <c r="H369" t="s">
        <v>25</v>
      </c>
      <c r="I369" t="s">
        <v>75</v>
      </c>
      <c r="J369" t="s">
        <v>87</v>
      </c>
      <c r="K369" t="s">
        <v>1342</v>
      </c>
      <c r="L369" t="s">
        <v>155</v>
      </c>
      <c r="M369" s="2">
        <v>738.06091573543495</v>
      </c>
      <c r="N369" s="2">
        <v>0</v>
      </c>
      <c r="O369" t="s">
        <v>43</v>
      </c>
      <c r="P369">
        <v>3</v>
      </c>
      <c r="Q369" t="s">
        <v>55</v>
      </c>
      <c r="R369" t="s">
        <v>133</v>
      </c>
      <c r="S369" s="2">
        <v>18.804413613880801</v>
      </c>
      <c r="T369" s="2">
        <v>85.474061859197903</v>
      </c>
      <c r="U369" t="str">
        <f>_xlfn.IFS(Table13[[#This Row],[Risk_Score]]&gt;80,"High",AND(Table13[[#This Row],[Risk_Score]]&lt;=80,Table13[[#This Row],[Risk_Score]]&gt;45),"Normal",Table13[[#This Row],[Risk_Score]]&lt;=45,"Low")</f>
        <v>High</v>
      </c>
      <c r="V369" s="7">
        <f t="shared" si="5"/>
        <v>738.06091573543495</v>
      </c>
    </row>
    <row r="370" spans="1:22">
      <c r="A370" t="s">
        <v>1343</v>
      </c>
      <c r="B370" t="s">
        <v>1344</v>
      </c>
      <c r="C370" t="s">
        <v>48</v>
      </c>
      <c r="D370" s="2">
        <v>19710.173504045099</v>
      </c>
      <c r="E370" s="4">
        <v>45927</v>
      </c>
      <c r="F370" t="s">
        <v>1345</v>
      </c>
      <c r="G370" t="s">
        <v>24</v>
      </c>
      <c r="H370" t="s">
        <v>38</v>
      </c>
      <c r="I370" t="s">
        <v>51</v>
      </c>
      <c r="J370" t="s">
        <v>87</v>
      </c>
      <c r="K370" t="s">
        <v>1346</v>
      </c>
      <c r="L370" t="s">
        <v>81</v>
      </c>
      <c r="M370" s="2">
        <v>3210.51948475572</v>
      </c>
      <c r="N370" s="2">
        <v>0</v>
      </c>
      <c r="O370" t="s">
        <v>43</v>
      </c>
      <c r="P370">
        <v>0</v>
      </c>
      <c r="Q370" t="s">
        <v>55</v>
      </c>
      <c r="R370" t="s">
        <v>32</v>
      </c>
      <c r="S370" s="2">
        <v>22.465020220000699</v>
      </c>
      <c r="T370" s="2">
        <v>48.810444710137801</v>
      </c>
      <c r="U370" t="str">
        <f>_xlfn.IFS(Table13[[#This Row],[Risk_Score]]&gt;80,"High",AND(Table13[[#This Row],[Risk_Score]]&lt;=80,Table13[[#This Row],[Risk_Score]]&gt;45),"Normal",Table13[[#This Row],[Risk_Score]]&lt;=45,"Low")</f>
        <v>Normal</v>
      </c>
      <c r="V370" s="7">
        <f t="shared" si="5"/>
        <v>3210.51948475572</v>
      </c>
    </row>
    <row r="371" spans="1:22">
      <c r="A371" t="s">
        <v>1347</v>
      </c>
      <c r="B371" t="s">
        <v>420</v>
      </c>
      <c r="C371" t="s">
        <v>48</v>
      </c>
      <c r="D371" s="2">
        <v>14467.6878621387</v>
      </c>
      <c r="E371" s="4">
        <v>45928</v>
      </c>
      <c r="F371" t="s">
        <v>1348</v>
      </c>
      <c r="G371" t="s">
        <v>24</v>
      </c>
      <c r="H371" t="s">
        <v>38</v>
      </c>
      <c r="I371" t="s">
        <v>51</v>
      </c>
      <c r="J371" t="s">
        <v>87</v>
      </c>
      <c r="K371" t="s">
        <v>1349</v>
      </c>
      <c r="L371" t="s">
        <v>81</v>
      </c>
      <c r="M371" s="2">
        <v>4157.6152603505598</v>
      </c>
      <c r="N371" s="2">
        <v>0</v>
      </c>
      <c r="O371" t="s">
        <v>43</v>
      </c>
      <c r="P371">
        <v>3</v>
      </c>
      <c r="Q371" t="s">
        <v>31</v>
      </c>
      <c r="R371" t="s">
        <v>133</v>
      </c>
      <c r="S371" s="2">
        <v>-22.308893382054102</v>
      </c>
      <c r="T371" s="2">
        <v>84.245698611841405</v>
      </c>
      <c r="U371" t="str">
        <f>_xlfn.IFS(Table13[[#This Row],[Risk_Score]]&gt;80,"High",AND(Table13[[#This Row],[Risk_Score]]&lt;=80,Table13[[#This Row],[Risk_Score]]&gt;45),"Normal",Table13[[#This Row],[Risk_Score]]&lt;=45,"Low")</f>
        <v>High</v>
      </c>
      <c r="V371" s="7">
        <f t="shared" si="5"/>
        <v>4157.6152603505598</v>
      </c>
    </row>
    <row r="372" spans="1:22">
      <c r="A372" t="s">
        <v>1350</v>
      </c>
      <c r="B372" t="s">
        <v>152</v>
      </c>
      <c r="C372" t="s">
        <v>48</v>
      </c>
      <c r="D372" s="2">
        <v>37238.057626980102</v>
      </c>
      <c r="E372" s="4">
        <v>45928</v>
      </c>
      <c r="F372" t="s">
        <v>1351</v>
      </c>
      <c r="G372" t="s">
        <v>92</v>
      </c>
      <c r="H372" t="s">
        <v>1762</v>
      </c>
      <c r="I372" t="s">
        <v>26</v>
      </c>
      <c r="J372" t="s">
        <v>87</v>
      </c>
      <c r="K372" t="s">
        <v>1352</v>
      </c>
      <c r="L372" t="s">
        <v>53</v>
      </c>
      <c r="M372" s="2">
        <v>4138.4075496039904</v>
      </c>
      <c r="N372" s="2">
        <v>0</v>
      </c>
      <c r="O372" t="s">
        <v>43</v>
      </c>
      <c r="P372">
        <v>0</v>
      </c>
      <c r="Q372" t="s">
        <v>1763</v>
      </c>
      <c r="R372" t="s">
        <v>133</v>
      </c>
      <c r="S372" s="2">
        <v>-14.218449855433001</v>
      </c>
      <c r="T372" s="2">
        <v>87.126468527015703</v>
      </c>
      <c r="U372" t="str">
        <f>_xlfn.IFS(Table13[[#This Row],[Risk_Score]]&gt;80,"High",AND(Table13[[#This Row],[Risk_Score]]&lt;=80,Table13[[#This Row],[Risk_Score]]&gt;45),"Normal",Table13[[#This Row],[Risk_Score]]&lt;=45,"Low")</f>
        <v>High</v>
      </c>
      <c r="V372" s="7">
        <f t="shared" si="5"/>
        <v>4138.4075496039904</v>
      </c>
    </row>
    <row r="373" spans="1:22">
      <c r="A373" t="s">
        <v>1353</v>
      </c>
      <c r="B373" t="s">
        <v>1354</v>
      </c>
      <c r="C373" t="s">
        <v>35</v>
      </c>
      <c r="D373" s="2">
        <v>14968.176631943301</v>
      </c>
      <c r="E373" s="4">
        <v>45929</v>
      </c>
      <c r="F373" t="s">
        <v>1355</v>
      </c>
      <c r="G373" t="s">
        <v>141</v>
      </c>
      <c r="H373" t="s">
        <v>38</v>
      </c>
      <c r="I373" t="s">
        <v>51</v>
      </c>
      <c r="J373" t="s">
        <v>87</v>
      </c>
      <c r="K373" t="s">
        <v>1356</v>
      </c>
      <c r="L373" t="s">
        <v>42</v>
      </c>
      <c r="M373" s="2">
        <v>4071.3340847214499</v>
      </c>
      <c r="N373" s="2">
        <v>0</v>
      </c>
      <c r="O373" t="s">
        <v>43</v>
      </c>
      <c r="P373">
        <v>0</v>
      </c>
      <c r="Q373" t="s">
        <v>1763</v>
      </c>
      <c r="R373" t="s">
        <v>45</v>
      </c>
      <c r="S373" s="2">
        <v>-19.6590471513022</v>
      </c>
      <c r="T373" s="2">
        <v>11.267352663479</v>
      </c>
      <c r="U373" t="str">
        <f>_xlfn.IFS(Table13[[#This Row],[Risk_Score]]&gt;80,"High",AND(Table13[[#This Row],[Risk_Score]]&lt;=80,Table13[[#This Row],[Risk_Score]]&gt;45),"Normal",Table13[[#This Row],[Risk_Score]]&lt;=45,"Low")</f>
        <v>Low</v>
      </c>
      <c r="V373" s="7">
        <f t="shared" si="5"/>
        <v>4071.3340847214499</v>
      </c>
    </row>
    <row r="374" spans="1:22">
      <c r="A374" t="s">
        <v>1357</v>
      </c>
      <c r="B374" t="s">
        <v>436</v>
      </c>
      <c r="C374" t="s">
        <v>85</v>
      </c>
      <c r="D374" s="2">
        <v>25807.166752100002</v>
      </c>
      <c r="E374" s="4">
        <v>45930</v>
      </c>
      <c r="F374" t="s">
        <v>1358</v>
      </c>
      <c r="G374" t="s">
        <v>59</v>
      </c>
      <c r="H374" t="s">
        <v>38</v>
      </c>
      <c r="I374" t="s">
        <v>26</v>
      </c>
      <c r="J374" t="s">
        <v>60</v>
      </c>
      <c r="K374" t="s">
        <v>1359</v>
      </c>
      <c r="L374" t="s">
        <v>53</v>
      </c>
      <c r="M374" s="2">
        <v>2388.95144195695</v>
      </c>
      <c r="N374" s="2">
        <v>0</v>
      </c>
      <c r="O374" t="s">
        <v>62</v>
      </c>
      <c r="P374">
        <v>2</v>
      </c>
      <c r="Q374" t="s">
        <v>44</v>
      </c>
      <c r="R374" t="s">
        <v>32</v>
      </c>
      <c r="S374" s="2">
        <v>-28.897140613485501</v>
      </c>
      <c r="T374" s="2">
        <v>39.910935057472898</v>
      </c>
      <c r="U374" t="str">
        <f>_xlfn.IFS(Table13[[#This Row],[Risk_Score]]&gt;80,"High",AND(Table13[[#This Row],[Risk_Score]]&lt;=80,Table13[[#This Row],[Risk_Score]]&gt;45),"Normal",Table13[[#This Row],[Risk_Score]]&lt;=45,"Low")</f>
        <v>Low</v>
      </c>
      <c r="V374" s="7">
        <f t="shared" si="5"/>
        <v>2388.95144195695</v>
      </c>
    </row>
    <row r="375" spans="1:22">
      <c r="A375" t="s">
        <v>1360</v>
      </c>
      <c r="B375" t="s">
        <v>383</v>
      </c>
      <c r="C375" t="s">
        <v>22</v>
      </c>
      <c r="D375" s="2">
        <v>29298.961663040998</v>
      </c>
      <c r="E375" s="4">
        <v>45930</v>
      </c>
      <c r="F375" t="s">
        <v>1361</v>
      </c>
      <c r="G375" t="s">
        <v>172</v>
      </c>
      <c r="H375" t="s">
        <v>1762</v>
      </c>
      <c r="I375" t="s">
        <v>26</v>
      </c>
      <c r="J375" t="s">
        <v>87</v>
      </c>
      <c r="K375" t="s">
        <v>1362</v>
      </c>
      <c r="L375" t="s">
        <v>53</v>
      </c>
      <c r="M375" s="2">
        <v>2585.4628030014101</v>
      </c>
      <c r="N375" s="2">
        <v>106.771427245171</v>
      </c>
      <c r="O375" t="s">
        <v>62</v>
      </c>
      <c r="P375">
        <v>3</v>
      </c>
      <c r="Q375" t="s">
        <v>95</v>
      </c>
      <c r="R375" t="s">
        <v>32</v>
      </c>
      <c r="S375" s="2">
        <v>29.675651233316401</v>
      </c>
      <c r="T375" s="2">
        <v>44.435219609749502</v>
      </c>
      <c r="U375" t="str">
        <f>_xlfn.IFS(Table13[[#This Row],[Risk_Score]]&gt;80,"High",AND(Table13[[#This Row],[Risk_Score]]&lt;=80,Table13[[#This Row],[Risk_Score]]&gt;45),"Normal",Table13[[#This Row],[Risk_Score]]&lt;=45,"Low")</f>
        <v>Low</v>
      </c>
      <c r="V375" s="7">
        <f t="shared" si="5"/>
        <v>2478.6913757562402</v>
      </c>
    </row>
    <row r="376" spans="1:22">
      <c r="A376" t="s">
        <v>1363</v>
      </c>
      <c r="B376" t="s">
        <v>1364</v>
      </c>
      <c r="C376" t="s">
        <v>85</v>
      </c>
      <c r="D376" s="2">
        <v>30901.459233654899</v>
      </c>
      <c r="E376" s="4">
        <v>45931</v>
      </c>
      <c r="F376" t="s">
        <v>1365</v>
      </c>
      <c r="G376" t="s">
        <v>163</v>
      </c>
      <c r="H376" t="s">
        <v>1762</v>
      </c>
      <c r="I376" t="s">
        <v>75</v>
      </c>
      <c r="J376" t="s">
        <v>87</v>
      </c>
      <c r="K376" t="s">
        <v>1366</v>
      </c>
      <c r="L376" t="s">
        <v>81</v>
      </c>
      <c r="M376" s="2">
        <v>3985.5371871503498</v>
      </c>
      <c r="N376" s="2">
        <v>0</v>
      </c>
      <c r="O376" t="s">
        <v>62</v>
      </c>
      <c r="P376">
        <v>3</v>
      </c>
      <c r="Q376" t="s">
        <v>1763</v>
      </c>
      <c r="R376" t="s">
        <v>133</v>
      </c>
      <c r="S376" s="2">
        <v>12.060676025702399</v>
      </c>
      <c r="T376" s="2">
        <v>96.163125662530703</v>
      </c>
      <c r="U376" t="str">
        <f>_xlfn.IFS(Table13[[#This Row],[Risk_Score]]&gt;80,"High",AND(Table13[[#This Row],[Risk_Score]]&lt;=80,Table13[[#This Row],[Risk_Score]]&gt;45),"Normal",Table13[[#This Row],[Risk_Score]]&lt;=45,"Low")</f>
        <v>High</v>
      </c>
      <c r="V376" s="7">
        <f t="shared" si="5"/>
        <v>3985.5371871503498</v>
      </c>
    </row>
    <row r="377" spans="1:22">
      <c r="A377" t="s">
        <v>1367</v>
      </c>
      <c r="B377" t="s">
        <v>1368</v>
      </c>
      <c r="C377" t="s">
        <v>22</v>
      </c>
      <c r="D377" s="2">
        <v>19027.354349438901</v>
      </c>
      <c r="E377" s="4">
        <v>45931</v>
      </c>
      <c r="F377" t="s">
        <v>1369</v>
      </c>
      <c r="G377" t="s">
        <v>37</v>
      </c>
      <c r="H377" t="s">
        <v>38</v>
      </c>
      <c r="I377" t="s">
        <v>75</v>
      </c>
      <c r="J377" t="s">
        <v>87</v>
      </c>
      <c r="K377" t="s">
        <v>1370</v>
      </c>
      <c r="L377" t="s">
        <v>120</v>
      </c>
      <c r="M377" s="2">
        <v>3741.3024477137001</v>
      </c>
      <c r="N377" s="2">
        <v>324.778003378481</v>
      </c>
      <c r="O377" t="s">
        <v>62</v>
      </c>
      <c r="P377">
        <v>1</v>
      </c>
      <c r="Q377" t="s">
        <v>31</v>
      </c>
      <c r="R377" t="s">
        <v>45</v>
      </c>
      <c r="S377" s="2">
        <v>-12.099735384750099</v>
      </c>
      <c r="T377" s="2">
        <v>61.086008351685003</v>
      </c>
      <c r="U377" t="str">
        <f>_xlfn.IFS(Table13[[#This Row],[Risk_Score]]&gt;80,"High",AND(Table13[[#This Row],[Risk_Score]]&lt;=80,Table13[[#This Row],[Risk_Score]]&gt;45),"Normal",Table13[[#This Row],[Risk_Score]]&lt;=45,"Low")</f>
        <v>Normal</v>
      </c>
      <c r="V377" s="7">
        <f t="shared" si="5"/>
        <v>3416.5244443352199</v>
      </c>
    </row>
    <row r="378" spans="1:22">
      <c r="A378" t="s">
        <v>1371</v>
      </c>
      <c r="B378" t="s">
        <v>207</v>
      </c>
      <c r="C378" t="s">
        <v>35</v>
      </c>
      <c r="D378" s="2">
        <v>41844.584183287399</v>
      </c>
      <c r="E378" s="4">
        <v>45931</v>
      </c>
      <c r="F378" t="s">
        <v>1372</v>
      </c>
      <c r="G378" t="s">
        <v>24</v>
      </c>
      <c r="H378" t="s">
        <v>38</v>
      </c>
      <c r="I378" t="s">
        <v>51</v>
      </c>
      <c r="J378" t="s">
        <v>87</v>
      </c>
      <c r="K378" t="s">
        <v>1373</v>
      </c>
      <c r="L378" t="s">
        <v>81</v>
      </c>
      <c r="M378" s="2">
        <v>1196.4151725813001</v>
      </c>
      <c r="N378" s="2">
        <v>137.54944077956199</v>
      </c>
      <c r="O378" t="s">
        <v>54</v>
      </c>
      <c r="P378">
        <v>3</v>
      </c>
      <c r="Q378" t="s">
        <v>44</v>
      </c>
      <c r="R378" t="s">
        <v>133</v>
      </c>
      <c r="S378" s="2">
        <v>-11.709709844623999</v>
      </c>
      <c r="T378" s="2">
        <v>67.972579600175806</v>
      </c>
      <c r="U378" t="str">
        <f>_xlfn.IFS(Table13[[#This Row],[Risk_Score]]&gt;80,"High",AND(Table13[[#This Row],[Risk_Score]]&lt;=80,Table13[[#This Row],[Risk_Score]]&gt;45),"Normal",Table13[[#This Row],[Risk_Score]]&lt;=45,"Low")</f>
        <v>Normal</v>
      </c>
      <c r="V378" s="7">
        <f t="shared" si="5"/>
        <v>1058.8657318017399</v>
      </c>
    </row>
    <row r="379" spans="1:22">
      <c r="A379" t="s">
        <v>1374</v>
      </c>
      <c r="B379" t="s">
        <v>1375</v>
      </c>
      <c r="C379" t="s">
        <v>85</v>
      </c>
      <c r="D379" s="2">
        <v>18948.524777264502</v>
      </c>
      <c r="E379" s="4">
        <v>45934</v>
      </c>
      <c r="F379" t="s">
        <v>1376</v>
      </c>
      <c r="G379" t="s">
        <v>68</v>
      </c>
      <c r="H379" t="s">
        <v>1762</v>
      </c>
      <c r="I379" t="s">
        <v>99</v>
      </c>
      <c r="J379" t="s">
        <v>87</v>
      </c>
      <c r="K379" t="s">
        <v>1377</v>
      </c>
      <c r="L379" t="s">
        <v>81</v>
      </c>
      <c r="M379" s="2">
        <v>2742.66690086059</v>
      </c>
      <c r="N379" s="2">
        <v>367.96020318697401</v>
      </c>
      <c r="O379" t="s">
        <v>62</v>
      </c>
      <c r="P379">
        <v>0</v>
      </c>
      <c r="Q379" t="s">
        <v>44</v>
      </c>
      <c r="R379" t="s">
        <v>32</v>
      </c>
      <c r="S379" s="2">
        <v>0.96808828046986795</v>
      </c>
      <c r="T379" s="2">
        <v>43.221318758502299</v>
      </c>
      <c r="U379" t="str">
        <f>_xlfn.IFS(Table13[[#This Row],[Risk_Score]]&gt;80,"High",AND(Table13[[#This Row],[Risk_Score]]&lt;=80,Table13[[#This Row],[Risk_Score]]&gt;45),"Normal",Table13[[#This Row],[Risk_Score]]&lt;=45,"Low")</f>
        <v>Low</v>
      </c>
      <c r="V379" s="7">
        <f t="shared" si="5"/>
        <v>2374.7066976736201</v>
      </c>
    </row>
    <row r="380" spans="1:22">
      <c r="A380" t="s">
        <v>1378</v>
      </c>
      <c r="B380" t="s">
        <v>451</v>
      </c>
      <c r="C380" t="s">
        <v>48</v>
      </c>
      <c r="D380" s="2">
        <v>8419.8649236698202</v>
      </c>
      <c r="E380" s="4">
        <v>45935</v>
      </c>
      <c r="F380" t="s">
        <v>1379</v>
      </c>
      <c r="G380" t="s">
        <v>92</v>
      </c>
      <c r="H380" t="s">
        <v>38</v>
      </c>
      <c r="I380" t="s">
        <v>26</v>
      </c>
      <c r="J380" t="s">
        <v>87</v>
      </c>
      <c r="K380" t="s">
        <v>1380</v>
      </c>
      <c r="L380" t="s">
        <v>42</v>
      </c>
      <c r="M380" s="2">
        <v>3386.3867976756401</v>
      </c>
      <c r="N380" s="2">
        <v>0</v>
      </c>
      <c r="O380" t="s">
        <v>43</v>
      </c>
      <c r="P380">
        <v>3</v>
      </c>
      <c r="Q380" t="s">
        <v>55</v>
      </c>
      <c r="R380" t="s">
        <v>45</v>
      </c>
      <c r="S380" s="2">
        <v>-3.4890579313360401</v>
      </c>
      <c r="T380" s="2">
        <v>41.521375668433102</v>
      </c>
      <c r="U380" t="str">
        <f>_xlfn.IFS(Table13[[#This Row],[Risk_Score]]&gt;80,"High",AND(Table13[[#This Row],[Risk_Score]]&lt;=80,Table13[[#This Row],[Risk_Score]]&gt;45),"Normal",Table13[[#This Row],[Risk_Score]]&lt;=45,"Low")</f>
        <v>Low</v>
      </c>
      <c r="V380" s="7">
        <f t="shared" si="5"/>
        <v>3386.3867976756401</v>
      </c>
    </row>
    <row r="381" spans="1:22">
      <c r="A381" t="s">
        <v>1381</v>
      </c>
      <c r="B381" t="s">
        <v>109</v>
      </c>
      <c r="C381" t="s">
        <v>35</v>
      </c>
      <c r="D381" s="2">
        <v>11447.041481767899</v>
      </c>
      <c r="E381" s="4">
        <v>45937</v>
      </c>
      <c r="F381" t="s">
        <v>1382</v>
      </c>
      <c r="G381" t="s">
        <v>92</v>
      </c>
      <c r="H381" t="s">
        <v>1762</v>
      </c>
      <c r="I381" t="s">
        <v>99</v>
      </c>
      <c r="J381" t="s">
        <v>60</v>
      </c>
      <c r="K381" t="s">
        <v>1383</v>
      </c>
      <c r="L381" t="s">
        <v>120</v>
      </c>
      <c r="M381" s="2">
        <v>2278.8982949660499</v>
      </c>
      <c r="N381" s="2">
        <v>0</v>
      </c>
      <c r="O381" t="s">
        <v>54</v>
      </c>
      <c r="P381">
        <v>0</v>
      </c>
      <c r="Q381" t="s">
        <v>63</v>
      </c>
      <c r="R381" t="s">
        <v>45</v>
      </c>
      <c r="S381" s="2">
        <v>0</v>
      </c>
      <c r="T381" s="2">
        <v>74.915782317653196</v>
      </c>
      <c r="U381" t="str">
        <f>_xlfn.IFS(Table13[[#This Row],[Risk_Score]]&gt;80,"High",AND(Table13[[#This Row],[Risk_Score]]&lt;=80,Table13[[#This Row],[Risk_Score]]&gt;45),"Normal",Table13[[#This Row],[Risk_Score]]&lt;=45,"Low")</f>
        <v>Normal</v>
      </c>
      <c r="V381" s="7">
        <f t="shared" si="5"/>
        <v>2278.8982949660499</v>
      </c>
    </row>
    <row r="382" spans="1:22">
      <c r="A382" t="s">
        <v>1384</v>
      </c>
      <c r="B382" t="s">
        <v>1385</v>
      </c>
      <c r="C382" t="s">
        <v>85</v>
      </c>
      <c r="D382" s="2">
        <v>15641.0687758775</v>
      </c>
      <c r="E382" s="4">
        <v>45938</v>
      </c>
      <c r="F382" t="s">
        <v>1386</v>
      </c>
      <c r="G382" t="s">
        <v>141</v>
      </c>
      <c r="H382" t="s">
        <v>25</v>
      </c>
      <c r="I382" t="s">
        <v>99</v>
      </c>
      <c r="J382" t="s">
        <v>87</v>
      </c>
      <c r="K382" t="s">
        <v>1387</v>
      </c>
      <c r="L382" t="s">
        <v>155</v>
      </c>
      <c r="M382" s="2">
        <v>3184.6528479665799</v>
      </c>
      <c r="N382" s="2">
        <v>53.355909551177099</v>
      </c>
      <c r="O382" t="s">
        <v>43</v>
      </c>
      <c r="P382">
        <v>1</v>
      </c>
      <c r="Q382" t="s">
        <v>63</v>
      </c>
      <c r="R382" t="s">
        <v>32</v>
      </c>
      <c r="S382" s="2">
        <v>1.14978237447243</v>
      </c>
      <c r="T382" s="2">
        <v>77.648688131566701</v>
      </c>
      <c r="U382" t="str">
        <f>_xlfn.IFS(Table13[[#This Row],[Risk_Score]]&gt;80,"High",AND(Table13[[#This Row],[Risk_Score]]&lt;=80,Table13[[#This Row],[Risk_Score]]&gt;45),"Normal",Table13[[#This Row],[Risk_Score]]&lt;=45,"Low")</f>
        <v>Normal</v>
      </c>
      <c r="V382" s="7">
        <f t="shared" si="5"/>
        <v>3131.2969384153998</v>
      </c>
    </row>
    <row r="383" spans="1:22">
      <c r="A383" t="s">
        <v>1388</v>
      </c>
      <c r="B383" t="s">
        <v>738</v>
      </c>
      <c r="C383" t="s">
        <v>48</v>
      </c>
      <c r="D383" s="2">
        <v>49265.773928208699</v>
      </c>
      <c r="E383" s="4">
        <v>45939</v>
      </c>
      <c r="F383" t="s">
        <v>1389</v>
      </c>
      <c r="G383" t="s">
        <v>68</v>
      </c>
      <c r="H383" t="s">
        <v>38</v>
      </c>
      <c r="I383" t="s">
        <v>75</v>
      </c>
      <c r="J383" t="s">
        <v>60</v>
      </c>
      <c r="K383" t="s">
        <v>1390</v>
      </c>
      <c r="L383" t="s">
        <v>120</v>
      </c>
      <c r="M383" s="2">
        <v>3692.7938700823402</v>
      </c>
      <c r="N383" s="2">
        <v>0</v>
      </c>
      <c r="O383" t="s">
        <v>62</v>
      </c>
      <c r="P383">
        <v>4</v>
      </c>
      <c r="Q383" t="s">
        <v>44</v>
      </c>
      <c r="R383" t="s">
        <v>32</v>
      </c>
      <c r="S383" s="2">
        <v>18.336497328858901</v>
      </c>
      <c r="T383" s="2">
        <v>41.2096568708115</v>
      </c>
      <c r="U383" t="str">
        <f>_xlfn.IFS(Table13[[#This Row],[Risk_Score]]&gt;80,"High",AND(Table13[[#This Row],[Risk_Score]]&lt;=80,Table13[[#This Row],[Risk_Score]]&gt;45),"Normal",Table13[[#This Row],[Risk_Score]]&lt;=45,"Low")</f>
        <v>Low</v>
      </c>
      <c r="V383" s="7">
        <f t="shared" si="5"/>
        <v>3692.7938700823402</v>
      </c>
    </row>
    <row r="384" spans="1:22">
      <c r="A384" t="s">
        <v>1391</v>
      </c>
      <c r="B384" t="s">
        <v>953</v>
      </c>
      <c r="C384" t="s">
        <v>48</v>
      </c>
      <c r="D384" s="2">
        <v>37943.781455889497</v>
      </c>
      <c r="E384" s="4">
        <v>45939</v>
      </c>
      <c r="F384" t="s">
        <v>1392</v>
      </c>
      <c r="G384" t="s">
        <v>92</v>
      </c>
      <c r="H384" t="s">
        <v>38</v>
      </c>
      <c r="I384" t="s">
        <v>75</v>
      </c>
      <c r="J384" t="s">
        <v>87</v>
      </c>
      <c r="K384" t="s">
        <v>1393</v>
      </c>
      <c r="L384" t="s">
        <v>155</v>
      </c>
      <c r="M384" s="2">
        <v>2461.6994342634698</v>
      </c>
      <c r="N384" s="2">
        <v>210.65044081668199</v>
      </c>
      <c r="O384" t="s">
        <v>43</v>
      </c>
      <c r="P384">
        <v>3</v>
      </c>
      <c r="Q384" t="s">
        <v>63</v>
      </c>
      <c r="R384" t="s">
        <v>45</v>
      </c>
      <c r="S384" s="2">
        <v>4.41767147657447</v>
      </c>
      <c r="T384" s="2">
        <v>32.777120584121903</v>
      </c>
      <c r="U384" t="str">
        <f>_xlfn.IFS(Table13[[#This Row],[Risk_Score]]&gt;80,"High",AND(Table13[[#This Row],[Risk_Score]]&lt;=80,Table13[[#This Row],[Risk_Score]]&gt;45),"Normal",Table13[[#This Row],[Risk_Score]]&lt;=45,"Low")</f>
        <v>Low</v>
      </c>
      <c r="V384" s="7">
        <f t="shared" si="5"/>
        <v>2251.0489934467901</v>
      </c>
    </row>
    <row r="385" spans="1:22">
      <c r="A385" t="s">
        <v>1394</v>
      </c>
      <c r="B385" t="s">
        <v>161</v>
      </c>
      <c r="C385" t="s">
        <v>35</v>
      </c>
      <c r="D385" s="2">
        <v>1010.29982327522</v>
      </c>
      <c r="E385" s="4">
        <v>45941</v>
      </c>
      <c r="F385" t="s">
        <v>1395</v>
      </c>
      <c r="G385" t="s">
        <v>59</v>
      </c>
      <c r="H385" t="s">
        <v>25</v>
      </c>
      <c r="I385" t="s">
        <v>99</v>
      </c>
      <c r="J385" t="s">
        <v>60</v>
      </c>
      <c r="K385" t="s">
        <v>1396</v>
      </c>
      <c r="L385" t="s">
        <v>53</v>
      </c>
      <c r="M385" s="2">
        <v>3320.9527219700099</v>
      </c>
      <c r="N385" s="2">
        <v>284.13430813438401</v>
      </c>
      <c r="O385" t="s">
        <v>43</v>
      </c>
      <c r="P385">
        <v>4</v>
      </c>
      <c r="Q385" t="s">
        <v>31</v>
      </c>
      <c r="R385" t="s">
        <v>32</v>
      </c>
      <c r="S385" s="2">
        <v>3.6950616580144899</v>
      </c>
      <c r="T385" s="2">
        <v>80.649594610524503</v>
      </c>
      <c r="U385" t="str">
        <f>_xlfn.IFS(Table13[[#This Row],[Risk_Score]]&gt;80,"High",AND(Table13[[#This Row],[Risk_Score]]&lt;=80,Table13[[#This Row],[Risk_Score]]&gt;45),"Normal",Table13[[#This Row],[Risk_Score]]&lt;=45,"Low")</f>
        <v>High</v>
      </c>
      <c r="V385" s="7">
        <f t="shared" si="5"/>
        <v>3036.8184138356301</v>
      </c>
    </row>
    <row r="386" spans="1:22">
      <c r="A386" t="s">
        <v>1397</v>
      </c>
      <c r="B386" t="s">
        <v>308</v>
      </c>
      <c r="C386" t="s">
        <v>35</v>
      </c>
      <c r="D386" s="2">
        <v>30786.018131317502</v>
      </c>
      <c r="E386" s="4">
        <v>45942</v>
      </c>
      <c r="F386" t="s">
        <v>1398</v>
      </c>
      <c r="G386" t="s">
        <v>163</v>
      </c>
      <c r="H386" t="s">
        <v>25</v>
      </c>
      <c r="I386" t="s">
        <v>99</v>
      </c>
      <c r="J386" t="s">
        <v>87</v>
      </c>
      <c r="K386" t="s">
        <v>1399</v>
      </c>
      <c r="L386" t="s">
        <v>155</v>
      </c>
      <c r="M386" s="2">
        <v>3290.89047506729</v>
      </c>
      <c r="N386" s="2">
        <v>0</v>
      </c>
      <c r="O386" t="s">
        <v>54</v>
      </c>
      <c r="P386">
        <v>4</v>
      </c>
      <c r="Q386" t="s">
        <v>55</v>
      </c>
      <c r="R386" t="s">
        <v>45</v>
      </c>
      <c r="S386" s="2">
        <v>-22.624687200061601</v>
      </c>
      <c r="T386" s="2">
        <v>22.847157591702398</v>
      </c>
      <c r="U386" t="str">
        <f>_xlfn.IFS(Table13[[#This Row],[Risk_Score]]&gt;80,"High",AND(Table13[[#This Row],[Risk_Score]]&lt;=80,Table13[[#This Row],[Risk_Score]]&gt;45),"Normal",Table13[[#This Row],[Risk_Score]]&lt;=45,"Low")</f>
        <v>Low</v>
      </c>
      <c r="V386" s="7">
        <f t="shared" ref="V386:V449" si="6">IF(M386-N386&gt;0,M386-N386,0)</f>
        <v>3290.89047506729</v>
      </c>
    </row>
    <row r="387" spans="1:22">
      <c r="A387" t="s">
        <v>1400</v>
      </c>
      <c r="B387" t="s">
        <v>473</v>
      </c>
      <c r="C387" t="s">
        <v>48</v>
      </c>
      <c r="D387" s="2">
        <v>47957.832248744999</v>
      </c>
      <c r="E387" s="4">
        <v>45942</v>
      </c>
      <c r="F387" t="s">
        <v>1401</v>
      </c>
      <c r="G387" t="s">
        <v>172</v>
      </c>
      <c r="H387" t="s">
        <v>1762</v>
      </c>
      <c r="I387" t="s">
        <v>51</v>
      </c>
      <c r="J387" t="s">
        <v>87</v>
      </c>
      <c r="K387" t="s">
        <v>1402</v>
      </c>
      <c r="L387" t="s">
        <v>120</v>
      </c>
      <c r="M387" s="2">
        <v>2981.4959266906299</v>
      </c>
      <c r="N387" s="2">
        <v>272.71397510585598</v>
      </c>
      <c r="O387" t="s">
        <v>43</v>
      </c>
      <c r="P387">
        <v>0</v>
      </c>
      <c r="Q387" t="s">
        <v>95</v>
      </c>
      <c r="R387" t="s">
        <v>32</v>
      </c>
      <c r="S387" s="2">
        <v>0.54490971398826804</v>
      </c>
      <c r="T387" s="2">
        <v>23.656792521109999</v>
      </c>
      <c r="U387" t="str">
        <f>_xlfn.IFS(Table13[[#This Row],[Risk_Score]]&gt;80,"High",AND(Table13[[#This Row],[Risk_Score]]&lt;=80,Table13[[#This Row],[Risk_Score]]&gt;45),"Normal",Table13[[#This Row],[Risk_Score]]&lt;=45,"Low")</f>
        <v>Low</v>
      </c>
      <c r="V387" s="7">
        <f t="shared" si="6"/>
        <v>2708.78195158477</v>
      </c>
    </row>
    <row r="388" spans="1:22">
      <c r="A388" t="s">
        <v>1403</v>
      </c>
      <c r="B388" t="s">
        <v>1064</v>
      </c>
      <c r="C388" t="s">
        <v>35</v>
      </c>
      <c r="D388" s="2">
        <v>22904.310942155698</v>
      </c>
      <c r="E388" s="4">
        <v>45942</v>
      </c>
      <c r="F388" t="s">
        <v>1404</v>
      </c>
      <c r="G388" t="s">
        <v>141</v>
      </c>
      <c r="H388" t="s">
        <v>25</v>
      </c>
      <c r="I388" t="s">
        <v>99</v>
      </c>
      <c r="J388" t="s">
        <v>87</v>
      </c>
      <c r="K388" t="s">
        <v>1405</v>
      </c>
      <c r="L388" t="s">
        <v>29</v>
      </c>
      <c r="M388" s="2">
        <v>1100.81392625953</v>
      </c>
      <c r="N388" s="2">
        <v>0</v>
      </c>
      <c r="O388" t="s">
        <v>62</v>
      </c>
      <c r="P388">
        <v>1</v>
      </c>
      <c r="Q388" t="s">
        <v>1763</v>
      </c>
      <c r="R388" t="s">
        <v>133</v>
      </c>
      <c r="S388" s="2">
        <v>-15.8198045838749</v>
      </c>
      <c r="T388" s="2">
        <v>43.686003655712703</v>
      </c>
      <c r="U388" t="str">
        <f>_xlfn.IFS(Table13[[#This Row],[Risk_Score]]&gt;80,"High",AND(Table13[[#This Row],[Risk_Score]]&lt;=80,Table13[[#This Row],[Risk_Score]]&gt;45),"Normal",Table13[[#This Row],[Risk_Score]]&lt;=45,"Low")</f>
        <v>Low</v>
      </c>
      <c r="V388" s="7">
        <f t="shared" si="6"/>
        <v>1100.81392625953</v>
      </c>
    </row>
    <row r="389" spans="1:22">
      <c r="A389" t="s">
        <v>1406</v>
      </c>
      <c r="B389" t="s">
        <v>1407</v>
      </c>
      <c r="C389" t="s">
        <v>48</v>
      </c>
      <c r="D389" s="2">
        <v>36636.010465107203</v>
      </c>
      <c r="E389" s="4">
        <v>45945</v>
      </c>
      <c r="F389" t="s">
        <v>1408</v>
      </c>
      <c r="G389" t="s">
        <v>50</v>
      </c>
      <c r="H389" t="s">
        <v>38</v>
      </c>
      <c r="I389" t="s">
        <v>99</v>
      </c>
      <c r="J389" t="s">
        <v>87</v>
      </c>
      <c r="K389" t="s">
        <v>1409</v>
      </c>
      <c r="L389" t="s">
        <v>42</v>
      </c>
      <c r="M389" s="2">
        <v>4284.9780610075704</v>
      </c>
      <c r="N389" s="2">
        <v>0</v>
      </c>
      <c r="O389" t="s">
        <v>62</v>
      </c>
      <c r="P389">
        <v>1</v>
      </c>
      <c r="Q389" t="s">
        <v>31</v>
      </c>
      <c r="R389" t="s">
        <v>32</v>
      </c>
      <c r="S389" s="2">
        <v>-16.485605859885201</v>
      </c>
      <c r="T389" s="2">
        <v>40.4645028440099</v>
      </c>
      <c r="U389" t="str">
        <f>_xlfn.IFS(Table13[[#This Row],[Risk_Score]]&gt;80,"High",AND(Table13[[#This Row],[Risk_Score]]&lt;=80,Table13[[#This Row],[Risk_Score]]&gt;45),"Normal",Table13[[#This Row],[Risk_Score]]&lt;=45,"Low")</f>
        <v>Low</v>
      </c>
      <c r="V389" s="7">
        <f t="shared" si="6"/>
        <v>4284.9780610075704</v>
      </c>
    </row>
    <row r="390" spans="1:22">
      <c r="A390" t="s">
        <v>1410</v>
      </c>
      <c r="B390" t="s">
        <v>813</v>
      </c>
      <c r="C390" t="s">
        <v>35</v>
      </c>
      <c r="D390" s="2">
        <v>5129.6506904927401</v>
      </c>
      <c r="E390" s="4">
        <v>45945</v>
      </c>
      <c r="F390" t="s">
        <v>1411</v>
      </c>
      <c r="G390" t="s">
        <v>59</v>
      </c>
      <c r="H390" t="s">
        <v>38</v>
      </c>
      <c r="I390" t="s">
        <v>99</v>
      </c>
      <c r="J390" t="s">
        <v>60</v>
      </c>
      <c r="K390" t="s">
        <v>1412</v>
      </c>
      <c r="L390" t="s">
        <v>29</v>
      </c>
      <c r="M390" s="2">
        <v>635.20093975867599</v>
      </c>
      <c r="N390" s="2">
        <v>0</v>
      </c>
      <c r="O390" t="s">
        <v>43</v>
      </c>
      <c r="P390">
        <v>1</v>
      </c>
      <c r="Q390" t="s">
        <v>63</v>
      </c>
      <c r="R390" t="s">
        <v>32</v>
      </c>
      <c r="S390" s="2">
        <v>16.639950844931601</v>
      </c>
      <c r="T390" s="2">
        <v>91.278738538652505</v>
      </c>
      <c r="U390" t="str">
        <f>_xlfn.IFS(Table13[[#This Row],[Risk_Score]]&gt;80,"High",AND(Table13[[#This Row],[Risk_Score]]&lt;=80,Table13[[#This Row],[Risk_Score]]&gt;45),"Normal",Table13[[#This Row],[Risk_Score]]&lt;=45,"Low")</f>
        <v>High</v>
      </c>
      <c r="V390" s="7">
        <f t="shared" si="6"/>
        <v>635.20093975867599</v>
      </c>
    </row>
    <row r="391" spans="1:22">
      <c r="A391" t="s">
        <v>1413</v>
      </c>
      <c r="B391" t="s">
        <v>1090</v>
      </c>
      <c r="C391" t="s">
        <v>85</v>
      </c>
      <c r="D391" s="2">
        <v>1000000</v>
      </c>
      <c r="E391" s="4">
        <v>45945</v>
      </c>
      <c r="F391" t="s">
        <v>1414</v>
      </c>
      <c r="G391" t="s">
        <v>163</v>
      </c>
      <c r="H391" t="s">
        <v>25</v>
      </c>
      <c r="I391" t="s">
        <v>26</v>
      </c>
      <c r="J391" t="s">
        <v>87</v>
      </c>
      <c r="K391" t="s">
        <v>1415</v>
      </c>
      <c r="L391" t="s">
        <v>29</v>
      </c>
      <c r="M391" s="2">
        <v>4048.20320890832</v>
      </c>
      <c r="N391" s="2">
        <v>0</v>
      </c>
      <c r="O391" t="s">
        <v>43</v>
      </c>
      <c r="P391">
        <v>0</v>
      </c>
      <c r="Q391" t="s">
        <v>31</v>
      </c>
      <c r="R391" t="s">
        <v>133</v>
      </c>
      <c r="S391" s="2">
        <v>-29.1954327676726</v>
      </c>
      <c r="T391" s="2">
        <v>95.139637248441602</v>
      </c>
      <c r="U391" t="str">
        <f>_xlfn.IFS(Table13[[#This Row],[Risk_Score]]&gt;80,"High",AND(Table13[[#This Row],[Risk_Score]]&lt;=80,Table13[[#This Row],[Risk_Score]]&gt;45),"Normal",Table13[[#This Row],[Risk_Score]]&lt;=45,"Low")</f>
        <v>High</v>
      </c>
      <c r="V391" s="7">
        <f t="shared" si="6"/>
        <v>4048.20320890832</v>
      </c>
    </row>
    <row r="392" spans="1:22">
      <c r="A392" t="s">
        <v>1416</v>
      </c>
      <c r="B392" t="s">
        <v>440</v>
      </c>
      <c r="C392" t="s">
        <v>48</v>
      </c>
      <c r="D392" s="2">
        <v>35576.528693953704</v>
      </c>
      <c r="E392" s="4">
        <v>45946</v>
      </c>
      <c r="F392" t="s">
        <v>1417</v>
      </c>
      <c r="G392" t="s">
        <v>172</v>
      </c>
      <c r="H392" t="s">
        <v>1762</v>
      </c>
      <c r="I392" t="s">
        <v>75</v>
      </c>
      <c r="J392" t="s">
        <v>87</v>
      </c>
      <c r="K392" t="s">
        <v>1418</v>
      </c>
      <c r="L392" t="s">
        <v>120</v>
      </c>
      <c r="M392" s="2">
        <v>4387.1527674342997</v>
      </c>
      <c r="N392" s="2">
        <v>444.50030540733297</v>
      </c>
      <c r="O392" t="s">
        <v>62</v>
      </c>
      <c r="P392">
        <v>4</v>
      </c>
      <c r="Q392" t="s">
        <v>95</v>
      </c>
      <c r="R392" t="s">
        <v>45</v>
      </c>
      <c r="S392" s="2">
        <v>-1.19353032286282</v>
      </c>
      <c r="T392" s="2">
        <v>4.6433655482812304</v>
      </c>
      <c r="U392" t="str">
        <f>_xlfn.IFS(Table13[[#This Row],[Risk_Score]]&gt;80,"High",AND(Table13[[#This Row],[Risk_Score]]&lt;=80,Table13[[#This Row],[Risk_Score]]&gt;45),"Normal",Table13[[#This Row],[Risk_Score]]&lt;=45,"Low")</f>
        <v>Low</v>
      </c>
      <c r="V392" s="7">
        <f t="shared" si="6"/>
        <v>3942.6524620269702</v>
      </c>
    </row>
    <row r="393" spans="1:22">
      <c r="A393" t="s">
        <v>1419</v>
      </c>
      <c r="B393" t="s">
        <v>253</v>
      </c>
      <c r="C393" t="s">
        <v>85</v>
      </c>
      <c r="D393" s="2">
        <v>36068.573505894303</v>
      </c>
      <c r="E393" s="4">
        <v>45946</v>
      </c>
      <c r="F393" t="s">
        <v>1420</v>
      </c>
      <c r="G393" t="s">
        <v>172</v>
      </c>
      <c r="H393" t="s">
        <v>1762</v>
      </c>
      <c r="I393" t="s">
        <v>99</v>
      </c>
      <c r="J393" t="s">
        <v>87</v>
      </c>
      <c r="K393" t="s">
        <v>1421</v>
      </c>
      <c r="L393" t="s">
        <v>29</v>
      </c>
      <c r="M393" s="2">
        <v>481.19098283409897</v>
      </c>
      <c r="N393" s="2">
        <v>32.6383787832319</v>
      </c>
      <c r="O393" t="s">
        <v>62</v>
      </c>
      <c r="P393">
        <v>1</v>
      </c>
      <c r="Q393" t="s">
        <v>31</v>
      </c>
      <c r="R393" t="s">
        <v>32</v>
      </c>
      <c r="S393" s="2">
        <v>27.3383677034053</v>
      </c>
      <c r="T393" s="2">
        <v>14.510557339645</v>
      </c>
      <c r="U393" t="str">
        <f>_xlfn.IFS(Table13[[#This Row],[Risk_Score]]&gt;80,"High",AND(Table13[[#This Row],[Risk_Score]]&lt;=80,Table13[[#This Row],[Risk_Score]]&gt;45),"Normal",Table13[[#This Row],[Risk_Score]]&lt;=45,"Low")</f>
        <v>Low</v>
      </c>
      <c r="V393" s="7">
        <f t="shared" si="6"/>
        <v>448.55260405086699</v>
      </c>
    </row>
    <row r="394" spans="1:22">
      <c r="A394" t="s">
        <v>1422</v>
      </c>
      <c r="B394" t="s">
        <v>1423</v>
      </c>
      <c r="C394" t="s">
        <v>48</v>
      </c>
      <c r="D394" s="2">
        <v>5238.77581863264</v>
      </c>
      <c r="E394" s="4">
        <v>45946</v>
      </c>
      <c r="F394" t="s">
        <v>1424</v>
      </c>
      <c r="G394" t="s">
        <v>141</v>
      </c>
      <c r="H394" t="s">
        <v>38</v>
      </c>
      <c r="I394" t="s">
        <v>75</v>
      </c>
      <c r="J394" t="s">
        <v>60</v>
      </c>
      <c r="K394" t="s">
        <v>1425</v>
      </c>
      <c r="L394" t="s">
        <v>155</v>
      </c>
      <c r="M394" s="2">
        <v>3587.7435924168799</v>
      </c>
      <c r="N394" s="2">
        <v>0</v>
      </c>
      <c r="O394" t="s">
        <v>62</v>
      </c>
      <c r="P394">
        <v>0</v>
      </c>
      <c r="Q394" t="s">
        <v>44</v>
      </c>
      <c r="R394" t="s">
        <v>133</v>
      </c>
      <c r="S394" s="2">
        <v>9.1882039975113194</v>
      </c>
      <c r="T394" s="2">
        <v>3.7552320060045599</v>
      </c>
      <c r="U394" t="str">
        <f>_xlfn.IFS(Table13[[#This Row],[Risk_Score]]&gt;80,"High",AND(Table13[[#This Row],[Risk_Score]]&lt;=80,Table13[[#This Row],[Risk_Score]]&gt;45),"Normal",Table13[[#This Row],[Risk_Score]]&lt;=45,"Low")</f>
        <v>Low</v>
      </c>
      <c r="V394" s="7">
        <f t="shared" si="6"/>
        <v>3587.7435924168799</v>
      </c>
    </row>
    <row r="395" spans="1:22">
      <c r="A395" t="s">
        <v>1426</v>
      </c>
      <c r="B395" t="s">
        <v>1097</v>
      </c>
      <c r="C395" t="s">
        <v>85</v>
      </c>
      <c r="D395" s="2">
        <v>20641.894596440601</v>
      </c>
      <c r="E395" s="4">
        <v>45950</v>
      </c>
      <c r="F395" t="s">
        <v>1427</v>
      </c>
      <c r="G395" t="s">
        <v>68</v>
      </c>
      <c r="H395" t="s">
        <v>1762</v>
      </c>
      <c r="I395" t="s">
        <v>26</v>
      </c>
      <c r="J395" t="s">
        <v>87</v>
      </c>
      <c r="K395" t="s">
        <v>1428</v>
      </c>
      <c r="L395" t="s">
        <v>53</v>
      </c>
      <c r="M395" s="2">
        <v>2254.7771294736399</v>
      </c>
      <c r="N395" s="2">
        <v>30.452771617591399</v>
      </c>
      <c r="O395" t="s">
        <v>43</v>
      </c>
      <c r="P395">
        <v>2</v>
      </c>
      <c r="Q395" t="s">
        <v>55</v>
      </c>
      <c r="R395" t="s">
        <v>32</v>
      </c>
      <c r="S395" s="2">
        <v>-11.628244771075099</v>
      </c>
      <c r="T395" s="2">
        <v>77.9005393924038</v>
      </c>
      <c r="U395" t="str">
        <f>_xlfn.IFS(Table13[[#This Row],[Risk_Score]]&gt;80,"High",AND(Table13[[#This Row],[Risk_Score]]&lt;=80,Table13[[#This Row],[Risk_Score]]&gt;45),"Normal",Table13[[#This Row],[Risk_Score]]&lt;=45,"Low")</f>
        <v>Normal</v>
      </c>
      <c r="V395" s="7">
        <f t="shared" si="6"/>
        <v>2224.32435785605</v>
      </c>
    </row>
    <row r="396" spans="1:22">
      <c r="A396" t="s">
        <v>1429</v>
      </c>
      <c r="B396" t="s">
        <v>1014</v>
      </c>
      <c r="C396" t="s">
        <v>22</v>
      </c>
      <c r="D396" s="2">
        <v>24239.3716024274</v>
      </c>
      <c r="E396" s="4">
        <v>45950</v>
      </c>
      <c r="F396" t="s">
        <v>1430</v>
      </c>
      <c r="G396" t="s">
        <v>181</v>
      </c>
      <c r="H396" t="s">
        <v>1762</v>
      </c>
      <c r="I396" t="s">
        <v>26</v>
      </c>
      <c r="J396" t="s">
        <v>60</v>
      </c>
      <c r="K396" t="s">
        <v>1431</v>
      </c>
      <c r="L396" t="s">
        <v>155</v>
      </c>
      <c r="M396" s="2">
        <v>745.70828357793698</v>
      </c>
      <c r="N396" s="2">
        <v>0</v>
      </c>
      <c r="O396" t="s">
        <v>62</v>
      </c>
      <c r="P396">
        <v>4</v>
      </c>
      <c r="Q396" t="s">
        <v>31</v>
      </c>
      <c r="R396" t="s">
        <v>45</v>
      </c>
      <c r="S396" s="2">
        <v>-4.34965777719803</v>
      </c>
      <c r="T396" s="2">
        <v>82.164933388007199</v>
      </c>
      <c r="U396" t="str">
        <f>_xlfn.IFS(Table13[[#This Row],[Risk_Score]]&gt;80,"High",AND(Table13[[#This Row],[Risk_Score]]&lt;=80,Table13[[#This Row],[Risk_Score]]&gt;45),"Normal",Table13[[#This Row],[Risk_Score]]&lt;=45,"Low")</f>
        <v>High</v>
      </c>
      <c r="V396" s="7">
        <f t="shared" si="6"/>
        <v>745.70828357793698</v>
      </c>
    </row>
    <row r="397" spans="1:22">
      <c r="A397" t="s">
        <v>1432</v>
      </c>
      <c r="B397" t="s">
        <v>864</v>
      </c>
      <c r="C397" t="s">
        <v>85</v>
      </c>
      <c r="D397" s="2">
        <v>17144.004201781601</v>
      </c>
      <c r="E397" s="4">
        <v>45950</v>
      </c>
      <c r="F397" t="s">
        <v>1433</v>
      </c>
      <c r="G397" t="s">
        <v>68</v>
      </c>
      <c r="H397" t="s">
        <v>25</v>
      </c>
      <c r="I397" t="s">
        <v>26</v>
      </c>
      <c r="J397" t="s">
        <v>60</v>
      </c>
      <c r="K397" t="s">
        <v>1434</v>
      </c>
      <c r="L397" t="s">
        <v>120</v>
      </c>
      <c r="M397" s="2">
        <v>316.17294272681801</v>
      </c>
      <c r="N397" s="2">
        <v>179.83778061153399</v>
      </c>
      <c r="O397" t="s">
        <v>62</v>
      </c>
      <c r="P397">
        <v>1</v>
      </c>
      <c r="Q397" t="s">
        <v>1763</v>
      </c>
      <c r="R397" t="s">
        <v>45</v>
      </c>
      <c r="S397" s="2">
        <v>-1.7002090328903801</v>
      </c>
      <c r="T397" s="2">
        <v>4.6261917339999998</v>
      </c>
      <c r="U397" t="str">
        <f>_xlfn.IFS(Table13[[#This Row],[Risk_Score]]&gt;80,"High",AND(Table13[[#This Row],[Risk_Score]]&lt;=80,Table13[[#This Row],[Risk_Score]]&gt;45),"Normal",Table13[[#This Row],[Risk_Score]]&lt;=45,"Low")</f>
        <v>Low</v>
      </c>
      <c r="V397" s="7">
        <f t="shared" si="6"/>
        <v>136.33516211528399</v>
      </c>
    </row>
    <row r="398" spans="1:22">
      <c r="A398" t="s">
        <v>1435</v>
      </c>
      <c r="B398" t="s">
        <v>685</v>
      </c>
      <c r="C398" t="s">
        <v>48</v>
      </c>
      <c r="D398" s="2">
        <v>43923.211307211699</v>
      </c>
      <c r="E398" s="4">
        <v>45950</v>
      </c>
      <c r="F398" t="s">
        <v>1436</v>
      </c>
      <c r="G398" t="s">
        <v>141</v>
      </c>
      <c r="H398" t="s">
        <v>38</v>
      </c>
      <c r="I398" t="s">
        <v>75</v>
      </c>
      <c r="J398" t="s">
        <v>60</v>
      </c>
      <c r="K398" t="s">
        <v>1437</v>
      </c>
      <c r="L398" t="s">
        <v>42</v>
      </c>
      <c r="M398" s="2">
        <v>799.28729775321096</v>
      </c>
      <c r="N398" s="2">
        <v>183.33943985149099</v>
      </c>
      <c r="O398" t="s">
        <v>54</v>
      </c>
      <c r="P398">
        <v>4</v>
      </c>
      <c r="Q398" t="s">
        <v>55</v>
      </c>
      <c r="R398" t="s">
        <v>32</v>
      </c>
      <c r="S398" s="2">
        <v>-13.4742057816316</v>
      </c>
      <c r="T398" s="2">
        <v>73.485052049960103</v>
      </c>
      <c r="U398" t="str">
        <f>_xlfn.IFS(Table13[[#This Row],[Risk_Score]]&gt;80,"High",AND(Table13[[#This Row],[Risk_Score]]&lt;=80,Table13[[#This Row],[Risk_Score]]&gt;45),"Normal",Table13[[#This Row],[Risk_Score]]&lt;=45,"Low")</f>
        <v>Normal</v>
      </c>
      <c r="V398" s="7">
        <f t="shared" si="6"/>
        <v>615.94785790172</v>
      </c>
    </row>
    <row r="399" spans="1:22">
      <c r="A399" t="s">
        <v>1438</v>
      </c>
      <c r="B399" t="s">
        <v>451</v>
      </c>
      <c r="C399" t="s">
        <v>85</v>
      </c>
      <c r="D399" s="2">
        <v>3980.49066953996</v>
      </c>
      <c r="E399" s="4">
        <v>45952</v>
      </c>
      <c r="F399" t="s">
        <v>1439</v>
      </c>
      <c r="G399" t="s">
        <v>59</v>
      </c>
      <c r="H399" t="s">
        <v>38</v>
      </c>
      <c r="I399" t="s">
        <v>51</v>
      </c>
      <c r="J399" t="s">
        <v>87</v>
      </c>
      <c r="K399" t="s">
        <v>1440</v>
      </c>
      <c r="L399" t="s">
        <v>120</v>
      </c>
      <c r="M399" s="2">
        <v>4067.28142154016</v>
      </c>
      <c r="N399" s="2">
        <v>0</v>
      </c>
      <c r="O399" t="s">
        <v>62</v>
      </c>
      <c r="P399">
        <v>2</v>
      </c>
      <c r="Q399" t="s">
        <v>63</v>
      </c>
      <c r="R399" t="s">
        <v>45</v>
      </c>
      <c r="S399" s="2">
        <v>-2.4618169160790702</v>
      </c>
      <c r="T399" s="2">
        <v>80.579286595823504</v>
      </c>
      <c r="U399" t="str">
        <f>_xlfn.IFS(Table13[[#This Row],[Risk_Score]]&gt;80,"High",AND(Table13[[#This Row],[Risk_Score]]&lt;=80,Table13[[#This Row],[Risk_Score]]&gt;45),"Normal",Table13[[#This Row],[Risk_Score]]&lt;=45,"Low")</f>
        <v>High</v>
      </c>
      <c r="V399" s="7">
        <f t="shared" si="6"/>
        <v>4067.28142154016</v>
      </c>
    </row>
    <row r="400" spans="1:22">
      <c r="A400" t="s">
        <v>1441</v>
      </c>
      <c r="B400" t="s">
        <v>1442</v>
      </c>
      <c r="C400" t="s">
        <v>22</v>
      </c>
      <c r="D400" s="2">
        <v>48658.206428578203</v>
      </c>
      <c r="E400" s="4">
        <v>45952</v>
      </c>
      <c r="F400" t="s">
        <v>1443</v>
      </c>
      <c r="G400" t="s">
        <v>50</v>
      </c>
      <c r="H400" t="s">
        <v>25</v>
      </c>
      <c r="I400" t="s">
        <v>51</v>
      </c>
      <c r="J400" t="s">
        <v>60</v>
      </c>
      <c r="K400" t="s">
        <v>1444</v>
      </c>
      <c r="L400" t="s">
        <v>155</v>
      </c>
      <c r="M400" s="2">
        <v>1216.3331133986601</v>
      </c>
      <c r="N400" s="2">
        <v>0</v>
      </c>
      <c r="O400" t="s">
        <v>62</v>
      </c>
      <c r="P400">
        <v>1</v>
      </c>
      <c r="Q400" t="s">
        <v>55</v>
      </c>
      <c r="R400" t="s">
        <v>133</v>
      </c>
      <c r="S400" s="2">
        <v>-13.1683306886759</v>
      </c>
      <c r="T400" s="2">
        <v>56.928138295052399</v>
      </c>
      <c r="U400" t="str">
        <f>_xlfn.IFS(Table13[[#This Row],[Risk_Score]]&gt;80,"High",AND(Table13[[#This Row],[Risk_Score]]&lt;=80,Table13[[#This Row],[Risk_Score]]&gt;45),"Normal",Table13[[#This Row],[Risk_Score]]&lt;=45,"Low")</f>
        <v>Normal</v>
      </c>
      <c r="V400" s="7">
        <f t="shared" si="6"/>
        <v>1216.3331133986601</v>
      </c>
    </row>
    <row r="401" spans="1:22">
      <c r="A401" t="s">
        <v>1445</v>
      </c>
      <c r="B401" t="s">
        <v>1446</v>
      </c>
      <c r="C401" t="s">
        <v>35</v>
      </c>
      <c r="D401" s="2">
        <v>9401.6088407283896</v>
      </c>
      <c r="E401" s="4">
        <v>45952</v>
      </c>
      <c r="F401" t="s">
        <v>1447</v>
      </c>
      <c r="G401" t="s">
        <v>172</v>
      </c>
      <c r="H401" t="s">
        <v>1762</v>
      </c>
      <c r="I401" t="s">
        <v>99</v>
      </c>
      <c r="J401" t="s">
        <v>87</v>
      </c>
      <c r="K401" t="s">
        <v>1448</v>
      </c>
      <c r="L401" t="s">
        <v>120</v>
      </c>
      <c r="M401" s="2">
        <v>4772.5092121365196</v>
      </c>
      <c r="N401" s="2">
        <v>66.642129041086605</v>
      </c>
      <c r="O401" t="s">
        <v>43</v>
      </c>
      <c r="P401">
        <v>0</v>
      </c>
      <c r="Q401" t="s">
        <v>55</v>
      </c>
      <c r="R401" t="s">
        <v>133</v>
      </c>
      <c r="S401" s="2">
        <v>25.660472489971198</v>
      </c>
      <c r="T401" s="2">
        <v>85.243041756911893</v>
      </c>
      <c r="U401" t="str">
        <f>_xlfn.IFS(Table13[[#This Row],[Risk_Score]]&gt;80,"High",AND(Table13[[#This Row],[Risk_Score]]&lt;=80,Table13[[#This Row],[Risk_Score]]&gt;45),"Normal",Table13[[#This Row],[Risk_Score]]&lt;=45,"Low")</f>
        <v>High</v>
      </c>
      <c r="V401" s="7">
        <f t="shared" si="6"/>
        <v>4705.8670830954297</v>
      </c>
    </row>
    <row r="402" spans="1:22">
      <c r="A402" t="s">
        <v>1449</v>
      </c>
      <c r="B402" t="s">
        <v>372</v>
      </c>
      <c r="C402" t="s">
        <v>22</v>
      </c>
      <c r="D402" s="2">
        <v>20187.247175489301</v>
      </c>
      <c r="E402" s="4">
        <v>45954</v>
      </c>
      <c r="F402" t="s">
        <v>1450</v>
      </c>
      <c r="G402" t="s">
        <v>68</v>
      </c>
      <c r="H402" t="s">
        <v>25</v>
      </c>
      <c r="I402" t="s">
        <v>51</v>
      </c>
      <c r="J402" t="s">
        <v>60</v>
      </c>
      <c r="K402" t="s">
        <v>1451</v>
      </c>
      <c r="L402" t="s">
        <v>155</v>
      </c>
      <c r="M402" s="2">
        <v>4037.7309829126798</v>
      </c>
      <c r="N402" s="2">
        <v>320.54305179108002</v>
      </c>
      <c r="O402" t="s">
        <v>54</v>
      </c>
      <c r="P402">
        <v>4</v>
      </c>
      <c r="Q402" t="s">
        <v>63</v>
      </c>
      <c r="R402" t="s">
        <v>45</v>
      </c>
      <c r="S402" s="2">
        <v>-15.022517735365</v>
      </c>
      <c r="T402" s="2">
        <v>48.281009332837002</v>
      </c>
      <c r="U402" t="str">
        <f>_xlfn.IFS(Table13[[#This Row],[Risk_Score]]&gt;80,"High",AND(Table13[[#This Row],[Risk_Score]]&lt;=80,Table13[[#This Row],[Risk_Score]]&gt;45),"Normal",Table13[[#This Row],[Risk_Score]]&lt;=45,"Low")</f>
        <v>Normal</v>
      </c>
      <c r="V402" s="7">
        <f t="shared" si="6"/>
        <v>3717.1879311215998</v>
      </c>
    </row>
    <row r="403" spans="1:22">
      <c r="A403" t="s">
        <v>1452</v>
      </c>
      <c r="B403" t="s">
        <v>1453</v>
      </c>
      <c r="C403" t="s">
        <v>48</v>
      </c>
      <c r="D403" s="2">
        <v>49030.782328981397</v>
      </c>
      <c r="E403" s="4">
        <v>45955</v>
      </c>
      <c r="F403" t="s">
        <v>1454</v>
      </c>
      <c r="G403" t="s">
        <v>59</v>
      </c>
      <c r="H403" t="s">
        <v>1762</v>
      </c>
      <c r="I403" t="s">
        <v>75</v>
      </c>
      <c r="J403" t="s">
        <v>60</v>
      </c>
      <c r="K403" t="s">
        <v>1455</v>
      </c>
      <c r="L403" t="s">
        <v>120</v>
      </c>
      <c r="M403" s="2">
        <v>725.03312096445097</v>
      </c>
      <c r="N403" s="2">
        <v>0</v>
      </c>
      <c r="O403" t="s">
        <v>62</v>
      </c>
      <c r="P403">
        <v>0</v>
      </c>
      <c r="Q403" t="s">
        <v>95</v>
      </c>
      <c r="R403" t="s">
        <v>133</v>
      </c>
      <c r="S403" s="2">
        <v>-12.439713254434499</v>
      </c>
      <c r="T403" s="2">
        <v>93.805385355393</v>
      </c>
      <c r="U403" t="str">
        <f>_xlfn.IFS(Table13[[#This Row],[Risk_Score]]&gt;80,"High",AND(Table13[[#This Row],[Risk_Score]]&lt;=80,Table13[[#This Row],[Risk_Score]]&gt;45),"Normal",Table13[[#This Row],[Risk_Score]]&lt;=45,"Low")</f>
        <v>High</v>
      </c>
      <c r="V403" s="7">
        <f t="shared" si="6"/>
        <v>725.03312096445097</v>
      </c>
    </row>
    <row r="404" spans="1:22">
      <c r="A404" t="s">
        <v>1456</v>
      </c>
      <c r="B404" t="s">
        <v>542</v>
      </c>
      <c r="C404" t="s">
        <v>35</v>
      </c>
      <c r="D404" s="2">
        <v>31691.593361536601</v>
      </c>
      <c r="E404" s="4">
        <v>45957</v>
      </c>
      <c r="F404" t="s">
        <v>1457</v>
      </c>
      <c r="G404" t="s">
        <v>172</v>
      </c>
      <c r="H404" t="s">
        <v>38</v>
      </c>
      <c r="I404" t="s">
        <v>99</v>
      </c>
      <c r="J404" t="s">
        <v>60</v>
      </c>
      <c r="K404" t="s">
        <v>197</v>
      </c>
      <c r="L404" t="s">
        <v>42</v>
      </c>
      <c r="M404" s="2">
        <v>1581.5933346086999</v>
      </c>
      <c r="N404" s="2">
        <v>341.25586505810003</v>
      </c>
      <c r="O404" t="s">
        <v>43</v>
      </c>
      <c r="P404">
        <v>4</v>
      </c>
      <c r="Q404" t="s">
        <v>95</v>
      </c>
      <c r="R404" t="s">
        <v>32</v>
      </c>
      <c r="S404" s="2">
        <v>-14.7830623416862</v>
      </c>
      <c r="T404" s="2">
        <v>82.107836199824106</v>
      </c>
      <c r="U404" t="str">
        <f>_xlfn.IFS(Table13[[#This Row],[Risk_Score]]&gt;80,"High",AND(Table13[[#This Row],[Risk_Score]]&lt;=80,Table13[[#This Row],[Risk_Score]]&gt;45),"Normal",Table13[[#This Row],[Risk_Score]]&lt;=45,"Low")</f>
        <v>High</v>
      </c>
      <c r="V404" s="7">
        <f t="shared" si="6"/>
        <v>1240.3374695506</v>
      </c>
    </row>
    <row r="405" spans="1:22">
      <c r="A405" t="s">
        <v>1458</v>
      </c>
      <c r="B405" t="s">
        <v>444</v>
      </c>
      <c r="C405" t="s">
        <v>35</v>
      </c>
      <c r="D405" s="2">
        <v>24900.896246180298</v>
      </c>
      <c r="E405" s="4">
        <v>45958</v>
      </c>
      <c r="F405" t="s">
        <v>1459</v>
      </c>
      <c r="G405" t="s">
        <v>141</v>
      </c>
      <c r="H405" t="s">
        <v>25</v>
      </c>
      <c r="I405" t="s">
        <v>26</v>
      </c>
      <c r="J405" t="s">
        <v>60</v>
      </c>
      <c r="K405" t="s">
        <v>1460</v>
      </c>
      <c r="L405" t="s">
        <v>29</v>
      </c>
      <c r="M405" s="2">
        <v>2873.5269824480301</v>
      </c>
      <c r="N405" s="2">
        <v>0</v>
      </c>
      <c r="O405" t="s">
        <v>43</v>
      </c>
      <c r="P405">
        <v>0</v>
      </c>
      <c r="Q405" t="s">
        <v>55</v>
      </c>
      <c r="R405" t="s">
        <v>45</v>
      </c>
      <c r="S405" s="2">
        <v>-3.3686405315658399</v>
      </c>
      <c r="T405" s="2">
        <v>43.624444836431699</v>
      </c>
      <c r="U405" t="str">
        <f>_xlfn.IFS(Table13[[#This Row],[Risk_Score]]&gt;80,"High",AND(Table13[[#This Row],[Risk_Score]]&lt;=80,Table13[[#This Row],[Risk_Score]]&gt;45),"Normal",Table13[[#This Row],[Risk_Score]]&lt;=45,"Low")</f>
        <v>Low</v>
      </c>
      <c r="V405" s="7">
        <f t="shared" si="6"/>
        <v>2873.5269824480301</v>
      </c>
    </row>
    <row r="406" spans="1:22">
      <c r="A406" t="s">
        <v>1461</v>
      </c>
      <c r="B406" t="s">
        <v>782</v>
      </c>
      <c r="C406" t="s">
        <v>35</v>
      </c>
      <c r="D406" s="2">
        <v>28842.321048502399</v>
      </c>
      <c r="E406" s="4">
        <v>45958</v>
      </c>
      <c r="F406" t="s">
        <v>1462</v>
      </c>
      <c r="G406" t="s">
        <v>37</v>
      </c>
      <c r="H406" t="s">
        <v>38</v>
      </c>
      <c r="I406" t="s">
        <v>26</v>
      </c>
      <c r="J406" t="s">
        <v>60</v>
      </c>
      <c r="K406" t="s">
        <v>1463</v>
      </c>
      <c r="L406" t="s">
        <v>53</v>
      </c>
      <c r="M406" s="2">
        <v>1335.0362543569699</v>
      </c>
      <c r="N406" s="2">
        <v>0</v>
      </c>
      <c r="O406" t="s">
        <v>54</v>
      </c>
      <c r="P406">
        <v>3</v>
      </c>
      <c r="Q406" t="s">
        <v>95</v>
      </c>
      <c r="R406" t="s">
        <v>32</v>
      </c>
      <c r="S406" s="2">
        <v>23.256499769637301</v>
      </c>
      <c r="T406" s="2">
        <v>34.156963294427499</v>
      </c>
      <c r="U406" t="str">
        <f>_xlfn.IFS(Table13[[#This Row],[Risk_Score]]&gt;80,"High",AND(Table13[[#This Row],[Risk_Score]]&lt;=80,Table13[[#This Row],[Risk_Score]]&gt;45),"Normal",Table13[[#This Row],[Risk_Score]]&lt;=45,"Low")</f>
        <v>Low</v>
      </c>
      <c r="V406" s="7">
        <f t="shared" si="6"/>
        <v>1335.0362543569699</v>
      </c>
    </row>
    <row r="407" spans="1:22">
      <c r="A407" t="s">
        <v>1464</v>
      </c>
      <c r="B407" t="s">
        <v>896</v>
      </c>
      <c r="C407" t="s">
        <v>35</v>
      </c>
      <c r="D407" s="2">
        <v>41146.935407992503</v>
      </c>
      <c r="E407" s="4">
        <v>45958</v>
      </c>
      <c r="F407" t="s">
        <v>1465</v>
      </c>
      <c r="G407" t="s">
        <v>181</v>
      </c>
      <c r="H407" t="s">
        <v>25</v>
      </c>
      <c r="I407" t="s">
        <v>26</v>
      </c>
      <c r="J407" t="s">
        <v>60</v>
      </c>
      <c r="K407" t="s">
        <v>1466</v>
      </c>
      <c r="L407" t="s">
        <v>53</v>
      </c>
      <c r="M407" s="2">
        <v>2172.3832410176801</v>
      </c>
      <c r="N407" s="2">
        <v>0</v>
      </c>
      <c r="O407" t="s">
        <v>62</v>
      </c>
      <c r="P407">
        <v>4</v>
      </c>
      <c r="Q407" t="s">
        <v>55</v>
      </c>
      <c r="R407" t="s">
        <v>133</v>
      </c>
      <c r="S407" s="2">
        <v>-19.784450872473801</v>
      </c>
      <c r="T407" s="2">
        <v>60.858315463990799</v>
      </c>
      <c r="U407" t="str">
        <f>_xlfn.IFS(Table13[[#This Row],[Risk_Score]]&gt;80,"High",AND(Table13[[#This Row],[Risk_Score]]&lt;=80,Table13[[#This Row],[Risk_Score]]&gt;45),"Normal",Table13[[#This Row],[Risk_Score]]&lt;=45,"Low")</f>
        <v>Normal</v>
      </c>
      <c r="V407" s="7">
        <f t="shared" si="6"/>
        <v>2172.3832410176801</v>
      </c>
    </row>
    <row r="408" spans="1:22">
      <c r="A408" t="s">
        <v>1467</v>
      </c>
      <c r="B408" t="s">
        <v>432</v>
      </c>
      <c r="C408" t="s">
        <v>22</v>
      </c>
      <c r="D408" s="2">
        <v>12646.977731638701</v>
      </c>
      <c r="E408" s="4">
        <v>45958</v>
      </c>
      <c r="F408" t="s">
        <v>1468</v>
      </c>
      <c r="G408" t="s">
        <v>68</v>
      </c>
      <c r="H408" t="s">
        <v>25</v>
      </c>
      <c r="I408" t="s">
        <v>26</v>
      </c>
      <c r="J408" t="s">
        <v>87</v>
      </c>
      <c r="K408" t="s">
        <v>1469</v>
      </c>
      <c r="L408" t="s">
        <v>155</v>
      </c>
      <c r="M408" s="2">
        <v>1960.4005791377899</v>
      </c>
      <c r="N408" s="2">
        <v>108.726466108618</v>
      </c>
      <c r="O408" t="s">
        <v>43</v>
      </c>
      <c r="P408">
        <v>1</v>
      </c>
      <c r="Q408" t="s">
        <v>31</v>
      </c>
      <c r="R408" t="s">
        <v>32</v>
      </c>
      <c r="S408" s="2">
        <v>-10.793391539645899</v>
      </c>
      <c r="T408" s="2">
        <v>81.043658561562495</v>
      </c>
      <c r="U408" t="str">
        <f>_xlfn.IFS(Table13[[#This Row],[Risk_Score]]&gt;80,"High",AND(Table13[[#This Row],[Risk_Score]]&lt;=80,Table13[[#This Row],[Risk_Score]]&gt;45),"Normal",Table13[[#This Row],[Risk_Score]]&lt;=45,"Low")</f>
        <v>High</v>
      </c>
      <c r="V408" s="7">
        <f t="shared" si="6"/>
        <v>1851.67411302917</v>
      </c>
    </row>
    <row r="409" spans="1:22">
      <c r="A409" t="s">
        <v>1470</v>
      </c>
      <c r="B409" t="s">
        <v>984</v>
      </c>
      <c r="C409" t="s">
        <v>48</v>
      </c>
      <c r="D409" s="2">
        <v>11270.0683887254</v>
      </c>
      <c r="E409" s="4">
        <v>45959</v>
      </c>
      <c r="F409" t="s">
        <v>1471</v>
      </c>
      <c r="G409" t="s">
        <v>92</v>
      </c>
      <c r="H409" t="s">
        <v>38</v>
      </c>
      <c r="I409" t="s">
        <v>75</v>
      </c>
      <c r="J409" t="s">
        <v>60</v>
      </c>
      <c r="K409" t="s">
        <v>389</v>
      </c>
      <c r="L409" t="s">
        <v>81</v>
      </c>
      <c r="M409" s="2">
        <v>4362.6955556233297</v>
      </c>
      <c r="N409" s="2">
        <v>4.9137762848939204</v>
      </c>
      <c r="O409" t="s">
        <v>62</v>
      </c>
      <c r="P409">
        <v>0</v>
      </c>
      <c r="Q409" t="s">
        <v>31</v>
      </c>
      <c r="R409" t="s">
        <v>32</v>
      </c>
      <c r="S409" s="2">
        <v>5.0591839057625396</v>
      </c>
      <c r="T409" s="2">
        <v>80.793803001428302</v>
      </c>
      <c r="U409" t="str">
        <f>_xlfn.IFS(Table13[[#This Row],[Risk_Score]]&gt;80,"High",AND(Table13[[#This Row],[Risk_Score]]&lt;=80,Table13[[#This Row],[Risk_Score]]&gt;45),"Normal",Table13[[#This Row],[Risk_Score]]&lt;=45,"Low")</f>
        <v>High</v>
      </c>
      <c r="V409" s="7">
        <f t="shared" si="6"/>
        <v>4357.7817793384402</v>
      </c>
    </row>
    <row r="410" spans="1:22">
      <c r="A410" t="s">
        <v>1472</v>
      </c>
      <c r="B410" t="s">
        <v>353</v>
      </c>
      <c r="C410" t="s">
        <v>35</v>
      </c>
      <c r="D410" s="2">
        <v>27785.298866257101</v>
      </c>
      <c r="E410" s="4">
        <v>45959</v>
      </c>
      <c r="F410" t="s">
        <v>1473</v>
      </c>
      <c r="G410" t="s">
        <v>181</v>
      </c>
      <c r="H410" t="s">
        <v>25</v>
      </c>
      <c r="I410" t="s">
        <v>51</v>
      </c>
      <c r="J410" t="s">
        <v>87</v>
      </c>
      <c r="K410" t="s">
        <v>1474</v>
      </c>
      <c r="L410" t="s">
        <v>1763</v>
      </c>
      <c r="M410" s="2">
        <v>3305.69492901597</v>
      </c>
      <c r="N410" s="2">
        <v>0</v>
      </c>
      <c r="O410" t="s">
        <v>43</v>
      </c>
      <c r="P410">
        <v>2</v>
      </c>
      <c r="Q410" t="s">
        <v>55</v>
      </c>
      <c r="R410" t="s">
        <v>45</v>
      </c>
      <c r="S410" s="2">
        <v>17.0567888972741</v>
      </c>
      <c r="T410" s="2">
        <v>72.951692857312196</v>
      </c>
      <c r="U410" t="str">
        <f>_xlfn.IFS(Table13[[#This Row],[Risk_Score]]&gt;80,"High",AND(Table13[[#This Row],[Risk_Score]]&lt;=80,Table13[[#This Row],[Risk_Score]]&gt;45),"Normal",Table13[[#This Row],[Risk_Score]]&lt;=45,"Low")</f>
        <v>Normal</v>
      </c>
      <c r="V410" s="7">
        <f t="shared" si="6"/>
        <v>3305.69492901597</v>
      </c>
    </row>
    <row r="411" spans="1:22">
      <c r="A411" t="s">
        <v>1475</v>
      </c>
      <c r="B411" t="s">
        <v>21</v>
      </c>
      <c r="C411" t="s">
        <v>48</v>
      </c>
      <c r="D411" s="2">
        <v>3539.1848144242199</v>
      </c>
      <c r="E411" s="4">
        <v>45960</v>
      </c>
      <c r="F411" t="s">
        <v>1476</v>
      </c>
      <c r="G411" t="s">
        <v>92</v>
      </c>
      <c r="H411" t="s">
        <v>38</v>
      </c>
      <c r="I411" t="s">
        <v>51</v>
      </c>
      <c r="J411" t="s">
        <v>60</v>
      </c>
      <c r="K411" t="s">
        <v>761</v>
      </c>
      <c r="L411" t="s">
        <v>81</v>
      </c>
      <c r="M411" s="2">
        <v>4271.9856000801801</v>
      </c>
      <c r="N411" s="2">
        <v>81.677224871578204</v>
      </c>
      <c r="O411" t="s">
        <v>43</v>
      </c>
      <c r="P411">
        <v>2</v>
      </c>
      <c r="Q411" t="s">
        <v>44</v>
      </c>
      <c r="R411" t="s">
        <v>133</v>
      </c>
      <c r="S411" s="2">
        <v>-15.9480564127146</v>
      </c>
      <c r="T411" s="2">
        <v>40.938913118341802</v>
      </c>
      <c r="U411" t="str">
        <f>_xlfn.IFS(Table13[[#This Row],[Risk_Score]]&gt;80,"High",AND(Table13[[#This Row],[Risk_Score]]&lt;=80,Table13[[#This Row],[Risk_Score]]&gt;45),"Normal",Table13[[#This Row],[Risk_Score]]&lt;=45,"Low")</f>
        <v>Low</v>
      </c>
      <c r="V411" s="7">
        <f t="shared" si="6"/>
        <v>4190.3083752086004</v>
      </c>
    </row>
    <row r="412" spans="1:22">
      <c r="A412" t="s">
        <v>1477</v>
      </c>
      <c r="B412" t="s">
        <v>799</v>
      </c>
      <c r="C412" t="s">
        <v>48</v>
      </c>
      <c r="D412" s="2">
        <v>29734.766568139199</v>
      </c>
      <c r="E412" s="4">
        <v>45961</v>
      </c>
      <c r="F412" t="s">
        <v>1478</v>
      </c>
      <c r="G412" t="s">
        <v>181</v>
      </c>
      <c r="H412" t="s">
        <v>25</v>
      </c>
      <c r="I412" t="s">
        <v>75</v>
      </c>
      <c r="J412" t="s">
        <v>60</v>
      </c>
      <c r="K412" t="s">
        <v>1479</v>
      </c>
      <c r="L412" t="s">
        <v>42</v>
      </c>
      <c r="M412" s="2">
        <v>3759.4261327845702</v>
      </c>
      <c r="N412" s="2">
        <v>0</v>
      </c>
      <c r="O412" t="s">
        <v>62</v>
      </c>
      <c r="P412">
        <v>3</v>
      </c>
      <c r="Q412" t="s">
        <v>31</v>
      </c>
      <c r="R412" t="s">
        <v>45</v>
      </c>
      <c r="S412" s="2">
        <v>28.928111066168999</v>
      </c>
      <c r="T412" s="2">
        <v>96.138247014371501</v>
      </c>
      <c r="U412" t="str">
        <f>_xlfn.IFS(Table13[[#This Row],[Risk_Score]]&gt;80,"High",AND(Table13[[#This Row],[Risk_Score]]&lt;=80,Table13[[#This Row],[Risk_Score]]&gt;45),"Normal",Table13[[#This Row],[Risk_Score]]&lt;=45,"Low")</f>
        <v>High</v>
      </c>
      <c r="V412" s="7">
        <f t="shared" si="6"/>
        <v>3759.4261327845702</v>
      </c>
    </row>
    <row r="413" spans="1:22">
      <c r="A413" t="s">
        <v>1480</v>
      </c>
      <c r="B413" t="s">
        <v>782</v>
      </c>
      <c r="C413" t="s">
        <v>22</v>
      </c>
      <c r="D413" s="2">
        <v>20074.994396622998</v>
      </c>
      <c r="E413" s="4">
        <v>45962</v>
      </c>
      <c r="F413" t="s">
        <v>1481</v>
      </c>
      <c r="G413" t="s">
        <v>59</v>
      </c>
      <c r="H413" t="s">
        <v>1762</v>
      </c>
      <c r="I413" t="s">
        <v>99</v>
      </c>
      <c r="J413" t="s">
        <v>87</v>
      </c>
      <c r="K413" t="s">
        <v>1482</v>
      </c>
      <c r="L413" t="s">
        <v>120</v>
      </c>
      <c r="M413" s="2">
        <v>1564.93347283242</v>
      </c>
      <c r="N413" s="2">
        <v>0</v>
      </c>
      <c r="O413" t="s">
        <v>43</v>
      </c>
      <c r="P413">
        <v>0</v>
      </c>
      <c r="Q413" t="s">
        <v>95</v>
      </c>
      <c r="R413" t="s">
        <v>32</v>
      </c>
      <c r="S413" s="2">
        <v>7.5658861192228004</v>
      </c>
      <c r="T413" s="2">
        <v>64.019386853703196</v>
      </c>
      <c r="U413" t="str">
        <f>_xlfn.IFS(Table13[[#This Row],[Risk_Score]]&gt;80,"High",AND(Table13[[#This Row],[Risk_Score]]&lt;=80,Table13[[#This Row],[Risk_Score]]&gt;45),"Normal",Table13[[#This Row],[Risk_Score]]&lt;=45,"Low")</f>
        <v>Normal</v>
      </c>
      <c r="V413" s="7">
        <f t="shared" si="6"/>
        <v>1564.93347283242</v>
      </c>
    </row>
    <row r="414" spans="1:22">
      <c r="A414" t="s">
        <v>1483</v>
      </c>
      <c r="B414" t="s">
        <v>629</v>
      </c>
      <c r="C414" t="s">
        <v>35</v>
      </c>
      <c r="D414" s="2">
        <v>6226.5667941691499</v>
      </c>
      <c r="E414" s="4">
        <v>45962</v>
      </c>
      <c r="F414" t="s">
        <v>1484</v>
      </c>
      <c r="G414" t="s">
        <v>37</v>
      </c>
      <c r="H414" t="s">
        <v>25</v>
      </c>
      <c r="I414" t="s">
        <v>26</v>
      </c>
      <c r="J414" t="s">
        <v>87</v>
      </c>
      <c r="K414" t="s">
        <v>1485</v>
      </c>
      <c r="L414" t="s">
        <v>155</v>
      </c>
      <c r="M414" s="2">
        <v>4173.0400919773701</v>
      </c>
      <c r="N414" s="2">
        <v>0</v>
      </c>
      <c r="O414" t="s">
        <v>54</v>
      </c>
      <c r="P414">
        <v>4</v>
      </c>
      <c r="Q414" t="s">
        <v>1763</v>
      </c>
      <c r="R414" t="s">
        <v>32</v>
      </c>
      <c r="S414" s="2">
        <v>27.642885100189002</v>
      </c>
      <c r="T414" s="2">
        <v>99.974127225809298</v>
      </c>
      <c r="U414" t="str">
        <f>_xlfn.IFS(Table13[[#This Row],[Risk_Score]]&gt;80,"High",AND(Table13[[#This Row],[Risk_Score]]&lt;=80,Table13[[#This Row],[Risk_Score]]&gt;45),"Normal",Table13[[#This Row],[Risk_Score]]&lt;=45,"Low")</f>
        <v>High</v>
      </c>
      <c r="V414" s="7">
        <f t="shared" si="6"/>
        <v>4173.0400919773701</v>
      </c>
    </row>
    <row r="415" spans="1:22">
      <c r="A415" t="s">
        <v>1486</v>
      </c>
      <c r="B415" t="s">
        <v>78</v>
      </c>
      <c r="C415" t="s">
        <v>35</v>
      </c>
      <c r="D415" s="2">
        <v>30559.192883697098</v>
      </c>
      <c r="E415" s="4">
        <v>45962</v>
      </c>
      <c r="F415" t="s">
        <v>1487</v>
      </c>
      <c r="G415" t="s">
        <v>163</v>
      </c>
      <c r="H415" t="s">
        <v>25</v>
      </c>
      <c r="I415" t="s">
        <v>51</v>
      </c>
      <c r="J415" t="s">
        <v>87</v>
      </c>
      <c r="K415" t="s">
        <v>1488</v>
      </c>
      <c r="L415" t="s">
        <v>155</v>
      </c>
      <c r="M415" s="2">
        <v>1406.89580090504</v>
      </c>
      <c r="N415" s="2">
        <v>0</v>
      </c>
      <c r="O415" t="s">
        <v>54</v>
      </c>
      <c r="P415">
        <v>0</v>
      </c>
      <c r="Q415" t="s">
        <v>1763</v>
      </c>
      <c r="R415" t="s">
        <v>32</v>
      </c>
      <c r="S415" s="2">
        <v>25.8654174304809</v>
      </c>
      <c r="T415" s="2">
        <v>45.442231915954103</v>
      </c>
      <c r="U415" t="str">
        <f>_xlfn.IFS(Table13[[#This Row],[Risk_Score]]&gt;80,"High",AND(Table13[[#This Row],[Risk_Score]]&lt;=80,Table13[[#This Row],[Risk_Score]]&gt;45),"Normal",Table13[[#This Row],[Risk_Score]]&lt;=45,"Low")</f>
        <v>Normal</v>
      </c>
      <c r="V415" s="7">
        <f t="shared" si="6"/>
        <v>1406.89580090504</v>
      </c>
    </row>
    <row r="416" spans="1:22">
      <c r="A416" t="s">
        <v>1489</v>
      </c>
      <c r="B416" t="s">
        <v>130</v>
      </c>
      <c r="C416" t="s">
        <v>85</v>
      </c>
      <c r="D416" s="2">
        <v>37756.301063819803</v>
      </c>
      <c r="E416" s="4">
        <v>45963</v>
      </c>
      <c r="F416" t="s">
        <v>1490</v>
      </c>
      <c r="G416" t="s">
        <v>92</v>
      </c>
      <c r="H416" t="s">
        <v>25</v>
      </c>
      <c r="I416" t="s">
        <v>51</v>
      </c>
      <c r="J416" t="s">
        <v>87</v>
      </c>
      <c r="K416" t="s">
        <v>1491</v>
      </c>
      <c r="L416" t="s">
        <v>120</v>
      </c>
      <c r="M416" s="2">
        <v>3702.5080550852699</v>
      </c>
      <c r="N416" s="2">
        <v>0</v>
      </c>
      <c r="O416" t="s">
        <v>54</v>
      </c>
      <c r="P416">
        <v>1</v>
      </c>
      <c r="Q416" t="s">
        <v>44</v>
      </c>
      <c r="R416" t="s">
        <v>133</v>
      </c>
      <c r="S416" s="2">
        <v>-17.529376714821101</v>
      </c>
      <c r="T416" s="2">
        <v>55.673230775921802</v>
      </c>
      <c r="U416" t="str">
        <f>_xlfn.IFS(Table13[[#This Row],[Risk_Score]]&gt;80,"High",AND(Table13[[#This Row],[Risk_Score]]&lt;=80,Table13[[#This Row],[Risk_Score]]&gt;45),"Normal",Table13[[#This Row],[Risk_Score]]&lt;=45,"Low")</f>
        <v>Normal</v>
      </c>
      <c r="V416" s="7">
        <f t="shared" si="6"/>
        <v>3702.5080550852699</v>
      </c>
    </row>
    <row r="417" spans="1:22">
      <c r="A417" t="s">
        <v>1492</v>
      </c>
      <c r="B417" t="s">
        <v>1493</v>
      </c>
      <c r="C417" t="s">
        <v>48</v>
      </c>
      <c r="D417" s="2">
        <v>12611.4599620237</v>
      </c>
      <c r="E417" s="4">
        <v>45964</v>
      </c>
      <c r="F417" t="s">
        <v>1494</v>
      </c>
      <c r="G417" t="s">
        <v>50</v>
      </c>
      <c r="H417" t="s">
        <v>38</v>
      </c>
      <c r="I417" t="s">
        <v>99</v>
      </c>
      <c r="J417" t="s">
        <v>87</v>
      </c>
      <c r="K417" t="s">
        <v>1495</v>
      </c>
      <c r="L417" t="s">
        <v>155</v>
      </c>
      <c r="M417" s="2">
        <v>2120.5409999127601</v>
      </c>
      <c r="N417" s="2">
        <v>0</v>
      </c>
      <c r="O417" t="s">
        <v>62</v>
      </c>
      <c r="P417">
        <v>4</v>
      </c>
      <c r="Q417" t="s">
        <v>55</v>
      </c>
      <c r="R417" t="s">
        <v>133</v>
      </c>
      <c r="S417" s="2">
        <v>10.8876069255163</v>
      </c>
      <c r="T417" s="2">
        <v>6.24475311975075</v>
      </c>
      <c r="U417" t="str">
        <f>_xlfn.IFS(Table13[[#This Row],[Risk_Score]]&gt;80,"High",AND(Table13[[#This Row],[Risk_Score]]&lt;=80,Table13[[#This Row],[Risk_Score]]&gt;45),"Normal",Table13[[#This Row],[Risk_Score]]&lt;=45,"Low")</f>
        <v>Low</v>
      </c>
      <c r="V417" s="7">
        <f t="shared" si="6"/>
        <v>2120.5409999127601</v>
      </c>
    </row>
    <row r="418" spans="1:22">
      <c r="A418" t="s">
        <v>1496</v>
      </c>
      <c r="B418" t="s">
        <v>778</v>
      </c>
      <c r="C418" t="s">
        <v>48</v>
      </c>
      <c r="D418" s="2">
        <v>46155.715566744402</v>
      </c>
      <c r="E418" s="4">
        <v>45966</v>
      </c>
      <c r="F418" t="s">
        <v>1497</v>
      </c>
      <c r="G418" t="s">
        <v>59</v>
      </c>
      <c r="H418" t="s">
        <v>38</v>
      </c>
      <c r="I418" t="s">
        <v>99</v>
      </c>
      <c r="J418" t="s">
        <v>60</v>
      </c>
      <c r="K418" t="s">
        <v>1498</v>
      </c>
      <c r="L418" t="s">
        <v>53</v>
      </c>
      <c r="M418" s="2">
        <v>3114.8818190031402</v>
      </c>
      <c r="N418" s="2">
        <v>0</v>
      </c>
      <c r="O418" t="s">
        <v>43</v>
      </c>
      <c r="P418">
        <v>3</v>
      </c>
      <c r="Q418" t="s">
        <v>95</v>
      </c>
      <c r="R418" t="s">
        <v>45</v>
      </c>
      <c r="S418" s="2">
        <v>16.676671648219301</v>
      </c>
      <c r="T418" s="2">
        <v>9.3821872395443204</v>
      </c>
      <c r="U418" t="str">
        <f>_xlfn.IFS(Table13[[#This Row],[Risk_Score]]&gt;80,"High",AND(Table13[[#This Row],[Risk_Score]]&lt;=80,Table13[[#This Row],[Risk_Score]]&gt;45),"Normal",Table13[[#This Row],[Risk_Score]]&lt;=45,"Low")</f>
        <v>Low</v>
      </c>
      <c r="V418" s="7">
        <f t="shared" si="6"/>
        <v>3114.8818190031402</v>
      </c>
    </row>
    <row r="419" spans="1:22">
      <c r="A419" t="s">
        <v>1499</v>
      </c>
      <c r="B419" t="s">
        <v>1500</v>
      </c>
      <c r="C419" t="s">
        <v>35</v>
      </c>
      <c r="D419" s="2">
        <v>13257.8217514674</v>
      </c>
      <c r="E419" s="4">
        <v>45966</v>
      </c>
      <c r="F419" t="s">
        <v>1501</v>
      </c>
      <c r="G419" t="s">
        <v>37</v>
      </c>
      <c r="H419" t="s">
        <v>25</v>
      </c>
      <c r="I419" t="s">
        <v>26</v>
      </c>
      <c r="J419" t="s">
        <v>60</v>
      </c>
      <c r="K419" t="s">
        <v>1502</v>
      </c>
      <c r="L419" t="s">
        <v>42</v>
      </c>
      <c r="M419" s="2">
        <v>2487.19340242215</v>
      </c>
      <c r="N419" s="2">
        <v>0</v>
      </c>
      <c r="O419" t="s">
        <v>54</v>
      </c>
      <c r="P419">
        <v>0</v>
      </c>
      <c r="Q419" t="s">
        <v>1763</v>
      </c>
      <c r="R419" t="s">
        <v>45</v>
      </c>
      <c r="S419" s="2">
        <v>-13.4256635026114</v>
      </c>
      <c r="T419" s="2">
        <v>99.105650873908701</v>
      </c>
      <c r="U419" t="str">
        <f>_xlfn.IFS(Table13[[#This Row],[Risk_Score]]&gt;80,"High",AND(Table13[[#This Row],[Risk_Score]]&lt;=80,Table13[[#This Row],[Risk_Score]]&gt;45),"Normal",Table13[[#This Row],[Risk_Score]]&lt;=45,"Low")</f>
        <v>High</v>
      </c>
      <c r="V419" s="7">
        <f t="shared" si="6"/>
        <v>2487.19340242215</v>
      </c>
    </row>
    <row r="420" spans="1:22">
      <c r="A420" t="s">
        <v>1503</v>
      </c>
      <c r="B420" t="s">
        <v>1504</v>
      </c>
      <c r="C420" t="s">
        <v>48</v>
      </c>
      <c r="D420" s="2">
        <v>20458.426318705799</v>
      </c>
      <c r="E420" s="4">
        <v>45967</v>
      </c>
      <c r="F420" t="s">
        <v>1505</v>
      </c>
      <c r="G420" t="s">
        <v>24</v>
      </c>
      <c r="H420" t="s">
        <v>38</v>
      </c>
      <c r="I420" t="s">
        <v>99</v>
      </c>
      <c r="J420" t="s">
        <v>60</v>
      </c>
      <c r="K420" t="s">
        <v>1506</v>
      </c>
      <c r="L420" t="s">
        <v>53</v>
      </c>
      <c r="M420" s="2">
        <v>618.786399641456</v>
      </c>
      <c r="N420" s="2">
        <v>348.34449393659798</v>
      </c>
      <c r="O420" t="s">
        <v>43</v>
      </c>
      <c r="P420">
        <v>2</v>
      </c>
      <c r="Q420" t="s">
        <v>44</v>
      </c>
      <c r="R420" t="s">
        <v>32</v>
      </c>
      <c r="S420" s="2">
        <v>19.053919772675801</v>
      </c>
      <c r="T420" s="2">
        <v>3.7352936435554902</v>
      </c>
      <c r="U420" t="str">
        <f>_xlfn.IFS(Table13[[#This Row],[Risk_Score]]&gt;80,"High",AND(Table13[[#This Row],[Risk_Score]]&lt;=80,Table13[[#This Row],[Risk_Score]]&gt;45),"Normal",Table13[[#This Row],[Risk_Score]]&lt;=45,"Low")</f>
        <v>Low</v>
      </c>
      <c r="V420" s="7">
        <f t="shared" si="6"/>
        <v>270.44190570485802</v>
      </c>
    </row>
    <row r="421" spans="1:22">
      <c r="A421" t="s">
        <v>1507</v>
      </c>
      <c r="B421" t="s">
        <v>663</v>
      </c>
      <c r="C421" t="s">
        <v>35</v>
      </c>
      <c r="D421" s="2">
        <v>25631.684976008299</v>
      </c>
      <c r="E421" s="4">
        <v>45967</v>
      </c>
      <c r="F421" t="s">
        <v>1508</v>
      </c>
      <c r="G421" t="s">
        <v>37</v>
      </c>
      <c r="H421" t="s">
        <v>1762</v>
      </c>
      <c r="I421" t="s">
        <v>26</v>
      </c>
      <c r="J421" t="s">
        <v>60</v>
      </c>
      <c r="K421" t="s">
        <v>1509</v>
      </c>
      <c r="L421" t="s">
        <v>29</v>
      </c>
      <c r="M421" s="2">
        <v>1012.9484141839999</v>
      </c>
      <c r="N421" s="2">
        <v>152.047317985642</v>
      </c>
      <c r="O421" t="s">
        <v>43</v>
      </c>
      <c r="P421">
        <v>0</v>
      </c>
      <c r="Q421" t="s">
        <v>63</v>
      </c>
      <c r="R421" t="s">
        <v>133</v>
      </c>
      <c r="S421" s="2">
        <v>24.297712810194799</v>
      </c>
      <c r="T421" s="2">
        <v>76.487883008846893</v>
      </c>
      <c r="U421" t="str">
        <f>_xlfn.IFS(Table13[[#This Row],[Risk_Score]]&gt;80,"High",AND(Table13[[#This Row],[Risk_Score]]&lt;=80,Table13[[#This Row],[Risk_Score]]&gt;45),"Normal",Table13[[#This Row],[Risk_Score]]&lt;=45,"Low")</f>
        <v>Normal</v>
      </c>
      <c r="V421" s="7">
        <f t="shared" si="6"/>
        <v>860.901096198358</v>
      </c>
    </row>
    <row r="422" spans="1:22">
      <c r="A422" t="s">
        <v>1510</v>
      </c>
      <c r="B422" t="s">
        <v>253</v>
      </c>
      <c r="C422" t="s">
        <v>35</v>
      </c>
      <c r="D422" s="2">
        <v>39611.7101895347</v>
      </c>
      <c r="E422" s="4">
        <v>45968</v>
      </c>
      <c r="F422" t="s">
        <v>1511</v>
      </c>
      <c r="G422" t="s">
        <v>24</v>
      </c>
      <c r="H422" t="s">
        <v>25</v>
      </c>
      <c r="I422" t="s">
        <v>99</v>
      </c>
      <c r="J422" t="s">
        <v>87</v>
      </c>
      <c r="K422" t="s">
        <v>1512</v>
      </c>
      <c r="L422" t="s">
        <v>29</v>
      </c>
      <c r="M422" s="2">
        <v>1600.66905907402</v>
      </c>
      <c r="N422" s="2">
        <v>400.06879137603801</v>
      </c>
      <c r="O422" t="s">
        <v>62</v>
      </c>
      <c r="P422">
        <v>3</v>
      </c>
      <c r="Q422" t="s">
        <v>95</v>
      </c>
      <c r="R422" t="s">
        <v>45</v>
      </c>
      <c r="S422" s="2">
        <v>-17.277309037021499</v>
      </c>
      <c r="T422" s="2">
        <v>29.582271858186299</v>
      </c>
      <c r="U422" t="str">
        <f>_xlfn.IFS(Table13[[#This Row],[Risk_Score]]&gt;80,"High",AND(Table13[[#This Row],[Risk_Score]]&lt;=80,Table13[[#This Row],[Risk_Score]]&gt;45),"Normal",Table13[[#This Row],[Risk_Score]]&lt;=45,"Low")</f>
        <v>Low</v>
      </c>
      <c r="V422" s="7">
        <f t="shared" si="6"/>
        <v>1200.6002676979799</v>
      </c>
    </row>
    <row r="423" spans="1:22">
      <c r="A423" t="s">
        <v>1513</v>
      </c>
      <c r="B423" t="s">
        <v>387</v>
      </c>
      <c r="C423" t="s">
        <v>35</v>
      </c>
      <c r="D423" s="2">
        <v>21159.599371579301</v>
      </c>
      <c r="E423" s="4">
        <v>45969</v>
      </c>
      <c r="F423" t="s">
        <v>1514</v>
      </c>
      <c r="G423" t="s">
        <v>163</v>
      </c>
      <c r="H423" t="s">
        <v>1762</v>
      </c>
      <c r="I423" t="s">
        <v>99</v>
      </c>
      <c r="J423" t="s">
        <v>60</v>
      </c>
      <c r="K423" t="s">
        <v>1515</v>
      </c>
      <c r="L423" t="s">
        <v>42</v>
      </c>
      <c r="M423" s="2">
        <v>4218.4289692933799</v>
      </c>
      <c r="N423" s="2">
        <v>0</v>
      </c>
      <c r="O423" t="s">
        <v>62</v>
      </c>
      <c r="P423">
        <v>4</v>
      </c>
      <c r="Q423" t="s">
        <v>31</v>
      </c>
      <c r="R423" t="s">
        <v>32</v>
      </c>
      <c r="S423" s="2">
        <v>27.696121534492701</v>
      </c>
      <c r="T423" s="2">
        <v>39.882152692405697</v>
      </c>
      <c r="U423" t="str">
        <f>_xlfn.IFS(Table13[[#This Row],[Risk_Score]]&gt;80,"High",AND(Table13[[#This Row],[Risk_Score]]&lt;=80,Table13[[#This Row],[Risk_Score]]&gt;45),"Normal",Table13[[#This Row],[Risk_Score]]&lt;=45,"Low")</f>
        <v>Low</v>
      </c>
      <c r="V423" s="7">
        <f t="shared" si="6"/>
        <v>4218.4289692933799</v>
      </c>
    </row>
    <row r="424" spans="1:22">
      <c r="A424" t="s">
        <v>1516</v>
      </c>
      <c r="B424" t="s">
        <v>702</v>
      </c>
      <c r="C424" t="s">
        <v>48</v>
      </c>
      <c r="D424" s="2">
        <v>4317.3986832660303</v>
      </c>
      <c r="E424" s="4">
        <v>45970</v>
      </c>
      <c r="F424" t="s">
        <v>1517</v>
      </c>
      <c r="G424" t="s">
        <v>59</v>
      </c>
      <c r="H424" t="s">
        <v>38</v>
      </c>
      <c r="I424" t="s">
        <v>26</v>
      </c>
      <c r="J424" t="s">
        <v>87</v>
      </c>
      <c r="K424" t="s">
        <v>1256</v>
      </c>
      <c r="L424" t="s">
        <v>120</v>
      </c>
      <c r="M424" s="2">
        <v>2910.2484589816099</v>
      </c>
      <c r="N424" s="2">
        <v>0</v>
      </c>
      <c r="O424" t="s">
        <v>54</v>
      </c>
      <c r="P424">
        <v>0</v>
      </c>
      <c r="Q424" t="s">
        <v>95</v>
      </c>
      <c r="R424" t="s">
        <v>32</v>
      </c>
      <c r="S424" s="2">
        <v>-23.943139101837598</v>
      </c>
      <c r="T424" s="2">
        <v>51.260505302158798</v>
      </c>
      <c r="U424" t="str">
        <f>_xlfn.IFS(Table13[[#This Row],[Risk_Score]]&gt;80,"High",AND(Table13[[#This Row],[Risk_Score]]&lt;=80,Table13[[#This Row],[Risk_Score]]&gt;45),"Normal",Table13[[#This Row],[Risk_Score]]&lt;=45,"Low")</f>
        <v>Normal</v>
      </c>
      <c r="V424" s="7">
        <f t="shared" si="6"/>
        <v>2910.2484589816099</v>
      </c>
    </row>
    <row r="425" spans="1:22">
      <c r="A425" t="s">
        <v>1518</v>
      </c>
      <c r="B425" t="s">
        <v>1519</v>
      </c>
      <c r="C425" t="s">
        <v>48</v>
      </c>
      <c r="D425" s="2">
        <v>37324.128824881001</v>
      </c>
      <c r="E425" s="4">
        <v>45971</v>
      </c>
      <c r="F425" t="s">
        <v>1520</v>
      </c>
      <c r="G425" t="s">
        <v>68</v>
      </c>
      <c r="H425" t="s">
        <v>1762</v>
      </c>
      <c r="I425" t="s">
        <v>26</v>
      </c>
      <c r="J425" t="s">
        <v>60</v>
      </c>
      <c r="K425" t="s">
        <v>1521</v>
      </c>
      <c r="L425" t="s">
        <v>155</v>
      </c>
      <c r="M425" s="2">
        <v>2698.0850333767498</v>
      </c>
      <c r="N425" s="2">
        <v>0</v>
      </c>
      <c r="O425" t="s">
        <v>43</v>
      </c>
      <c r="P425">
        <v>4</v>
      </c>
      <c r="Q425" t="s">
        <v>31</v>
      </c>
      <c r="R425" t="s">
        <v>133</v>
      </c>
      <c r="S425" s="2">
        <v>-21.152843971505899</v>
      </c>
      <c r="T425" s="2">
        <v>29.854792598216399</v>
      </c>
      <c r="U425" t="str">
        <f>_xlfn.IFS(Table13[[#This Row],[Risk_Score]]&gt;80,"High",AND(Table13[[#This Row],[Risk_Score]]&lt;=80,Table13[[#This Row],[Risk_Score]]&gt;45),"Normal",Table13[[#This Row],[Risk_Score]]&lt;=45,"Low")</f>
        <v>Low</v>
      </c>
      <c r="V425" s="7">
        <f t="shared" si="6"/>
        <v>2698.0850333767498</v>
      </c>
    </row>
    <row r="426" spans="1:22">
      <c r="A426" t="s">
        <v>1522</v>
      </c>
      <c r="B426" t="s">
        <v>738</v>
      </c>
      <c r="C426" t="s">
        <v>35</v>
      </c>
      <c r="D426" s="2">
        <v>24290.440520802302</v>
      </c>
      <c r="E426" s="4">
        <v>45971</v>
      </c>
      <c r="F426" t="s">
        <v>1523</v>
      </c>
      <c r="G426" t="s">
        <v>37</v>
      </c>
      <c r="H426" t="s">
        <v>1762</v>
      </c>
      <c r="I426" t="s">
        <v>75</v>
      </c>
      <c r="J426" t="s">
        <v>87</v>
      </c>
      <c r="K426" t="s">
        <v>1524</v>
      </c>
      <c r="L426" t="s">
        <v>29</v>
      </c>
      <c r="M426" s="2">
        <v>575.32164818042804</v>
      </c>
      <c r="N426" s="2">
        <v>464.27776644706802</v>
      </c>
      <c r="O426" t="s">
        <v>62</v>
      </c>
      <c r="P426">
        <v>4</v>
      </c>
      <c r="Q426" t="s">
        <v>44</v>
      </c>
      <c r="R426" t="s">
        <v>133</v>
      </c>
      <c r="S426" s="2">
        <v>-26.747295347640399</v>
      </c>
      <c r="T426" s="2">
        <v>61.549095966671899</v>
      </c>
      <c r="U426" t="str">
        <f>_xlfn.IFS(Table13[[#This Row],[Risk_Score]]&gt;80,"High",AND(Table13[[#This Row],[Risk_Score]]&lt;=80,Table13[[#This Row],[Risk_Score]]&gt;45),"Normal",Table13[[#This Row],[Risk_Score]]&lt;=45,"Low")</f>
        <v>Normal</v>
      </c>
      <c r="V426" s="7">
        <f t="shared" si="6"/>
        <v>111.04388173336</v>
      </c>
    </row>
    <row r="427" spans="1:22">
      <c r="A427" t="s">
        <v>1525</v>
      </c>
      <c r="B427" t="s">
        <v>629</v>
      </c>
      <c r="C427" t="s">
        <v>85</v>
      </c>
      <c r="D427" s="2">
        <v>3860.4171115878698</v>
      </c>
      <c r="E427" s="4">
        <v>45972</v>
      </c>
      <c r="F427" t="s">
        <v>1526</v>
      </c>
      <c r="G427" t="s">
        <v>24</v>
      </c>
      <c r="H427" t="s">
        <v>25</v>
      </c>
      <c r="I427" t="s">
        <v>51</v>
      </c>
      <c r="J427" t="s">
        <v>60</v>
      </c>
      <c r="K427" t="s">
        <v>1527</v>
      </c>
      <c r="L427" t="s">
        <v>155</v>
      </c>
      <c r="M427" s="2">
        <v>1086.80605907208</v>
      </c>
      <c r="N427" s="2">
        <v>0</v>
      </c>
      <c r="O427" t="s">
        <v>62</v>
      </c>
      <c r="P427">
        <v>4</v>
      </c>
      <c r="Q427" t="s">
        <v>31</v>
      </c>
      <c r="R427" t="s">
        <v>133</v>
      </c>
      <c r="S427" s="2">
        <v>-28.023127905268201</v>
      </c>
      <c r="T427" s="2">
        <v>48.922990020461299</v>
      </c>
      <c r="U427" t="str">
        <f>_xlfn.IFS(Table13[[#This Row],[Risk_Score]]&gt;80,"High",AND(Table13[[#This Row],[Risk_Score]]&lt;=80,Table13[[#This Row],[Risk_Score]]&gt;45),"Normal",Table13[[#This Row],[Risk_Score]]&lt;=45,"Low")</f>
        <v>Normal</v>
      </c>
      <c r="V427" s="7">
        <f t="shared" si="6"/>
        <v>1086.80605907208</v>
      </c>
    </row>
    <row r="428" spans="1:22">
      <c r="A428" t="s">
        <v>1528</v>
      </c>
      <c r="B428" t="s">
        <v>399</v>
      </c>
      <c r="C428" t="s">
        <v>35</v>
      </c>
      <c r="D428" s="2">
        <v>1790.5700963050899</v>
      </c>
      <c r="E428" s="4">
        <v>45973</v>
      </c>
      <c r="F428" t="s">
        <v>1529</v>
      </c>
      <c r="G428" t="s">
        <v>59</v>
      </c>
      <c r="H428" t="s">
        <v>38</v>
      </c>
      <c r="I428" t="s">
        <v>99</v>
      </c>
      <c r="J428" t="s">
        <v>87</v>
      </c>
      <c r="K428" t="s">
        <v>1530</v>
      </c>
      <c r="L428" t="s">
        <v>155</v>
      </c>
      <c r="M428" s="2">
        <v>2953.2333161353699</v>
      </c>
      <c r="N428" s="2">
        <v>67.830733580188905</v>
      </c>
      <c r="O428" t="s">
        <v>62</v>
      </c>
      <c r="P428">
        <v>4</v>
      </c>
      <c r="Q428" t="s">
        <v>55</v>
      </c>
      <c r="R428" t="s">
        <v>32</v>
      </c>
      <c r="S428" s="2">
        <v>0</v>
      </c>
      <c r="T428" s="2">
        <v>27.523610593112199</v>
      </c>
      <c r="U428" t="str">
        <f>_xlfn.IFS(Table13[[#This Row],[Risk_Score]]&gt;80,"High",AND(Table13[[#This Row],[Risk_Score]]&lt;=80,Table13[[#This Row],[Risk_Score]]&gt;45),"Normal",Table13[[#This Row],[Risk_Score]]&lt;=45,"Low")</f>
        <v>Low</v>
      </c>
      <c r="V428" s="7">
        <f t="shared" si="6"/>
        <v>2885.4025825551798</v>
      </c>
    </row>
    <row r="429" spans="1:22">
      <c r="A429" t="s">
        <v>1531</v>
      </c>
      <c r="B429" t="s">
        <v>850</v>
      </c>
      <c r="C429" t="s">
        <v>22</v>
      </c>
      <c r="D429" s="2">
        <v>42131.470361379303</v>
      </c>
      <c r="E429" s="4">
        <v>45973</v>
      </c>
      <c r="F429" t="s">
        <v>1532</v>
      </c>
      <c r="G429" t="s">
        <v>68</v>
      </c>
      <c r="H429" t="s">
        <v>38</v>
      </c>
      <c r="I429" t="s">
        <v>51</v>
      </c>
      <c r="J429" t="s">
        <v>87</v>
      </c>
      <c r="K429" t="s">
        <v>1533</v>
      </c>
      <c r="L429" t="s">
        <v>29</v>
      </c>
      <c r="M429" s="2">
        <v>278.01216522578801</v>
      </c>
      <c r="N429" s="2">
        <v>0</v>
      </c>
      <c r="O429" t="s">
        <v>62</v>
      </c>
      <c r="P429">
        <v>4</v>
      </c>
      <c r="Q429" t="s">
        <v>63</v>
      </c>
      <c r="R429" t="s">
        <v>45</v>
      </c>
      <c r="S429" s="2">
        <v>4.1685908797806404</v>
      </c>
      <c r="T429" s="2">
        <v>70.753543774544397</v>
      </c>
      <c r="U429" t="str">
        <f>_xlfn.IFS(Table13[[#This Row],[Risk_Score]]&gt;80,"High",AND(Table13[[#This Row],[Risk_Score]]&lt;=80,Table13[[#This Row],[Risk_Score]]&gt;45),"Normal",Table13[[#This Row],[Risk_Score]]&lt;=45,"Low")</f>
        <v>Normal</v>
      </c>
      <c r="V429" s="7">
        <f t="shared" si="6"/>
        <v>278.01216522578801</v>
      </c>
    </row>
    <row r="430" spans="1:22">
      <c r="A430" t="s">
        <v>1534</v>
      </c>
      <c r="B430" t="s">
        <v>1535</v>
      </c>
      <c r="C430" t="s">
        <v>35</v>
      </c>
      <c r="D430" s="2">
        <v>32181.9856243512</v>
      </c>
      <c r="E430" s="4">
        <v>45974</v>
      </c>
      <c r="F430" t="s">
        <v>1536</v>
      </c>
      <c r="G430" t="s">
        <v>163</v>
      </c>
      <c r="H430" t="s">
        <v>38</v>
      </c>
      <c r="I430" t="s">
        <v>26</v>
      </c>
      <c r="J430" t="s">
        <v>87</v>
      </c>
      <c r="K430" t="s">
        <v>1537</v>
      </c>
      <c r="L430" t="s">
        <v>29</v>
      </c>
      <c r="M430" s="2">
        <v>3966.8572478585802</v>
      </c>
      <c r="N430" s="2">
        <v>0</v>
      </c>
      <c r="O430" t="s">
        <v>54</v>
      </c>
      <c r="P430">
        <v>1</v>
      </c>
      <c r="Q430" t="s">
        <v>44</v>
      </c>
      <c r="R430" t="s">
        <v>32</v>
      </c>
      <c r="S430" s="2">
        <v>29.777808254713499</v>
      </c>
      <c r="T430" s="2">
        <v>76.330761521221106</v>
      </c>
      <c r="U430" t="str">
        <f>_xlfn.IFS(Table13[[#This Row],[Risk_Score]]&gt;80,"High",AND(Table13[[#This Row],[Risk_Score]]&lt;=80,Table13[[#This Row],[Risk_Score]]&gt;45),"Normal",Table13[[#This Row],[Risk_Score]]&lt;=45,"Low")</f>
        <v>Normal</v>
      </c>
      <c r="V430" s="7">
        <f t="shared" si="6"/>
        <v>3966.8572478585802</v>
      </c>
    </row>
    <row r="431" spans="1:22">
      <c r="A431" t="s">
        <v>1538</v>
      </c>
      <c r="B431" t="s">
        <v>949</v>
      </c>
      <c r="C431" t="s">
        <v>35</v>
      </c>
      <c r="D431" s="2">
        <v>36347.211929246398</v>
      </c>
      <c r="E431" s="4">
        <v>45975</v>
      </c>
      <c r="F431" t="s">
        <v>1539</v>
      </c>
      <c r="G431" t="s">
        <v>68</v>
      </c>
      <c r="H431" t="s">
        <v>25</v>
      </c>
      <c r="I431" t="s">
        <v>99</v>
      </c>
      <c r="J431" t="s">
        <v>87</v>
      </c>
      <c r="K431" t="s">
        <v>1540</v>
      </c>
      <c r="L431" t="s">
        <v>29</v>
      </c>
      <c r="M431" s="2">
        <v>176.57050549418699</v>
      </c>
      <c r="N431" s="2">
        <v>252.96290007319701</v>
      </c>
      <c r="O431" t="s">
        <v>43</v>
      </c>
      <c r="P431">
        <v>1</v>
      </c>
      <c r="Q431" t="s">
        <v>44</v>
      </c>
      <c r="R431" t="s">
        <v>45</v>
      </c>
      <c r="S431" s="2">
        <v>-25.0540036788605</v>
      </c>
      <c r="T431" s="2">
        <v>68.105011173044502</v>
      </c>
      <c r="U431" t="str">
        <f>_xlfn.IFS(Table13[[#This Row],[Risk_Score]]&gt;80,"High",AND(Table13[[#This Row],[Risk_Score]]&lt;=80,Table13[[#This Row],[Risk_Score]]&gt;45),"Normal",Table13[[#This Row],[Risk_Score]]&lt;=45,"Low")</f>
        <v>Normal</v>
      </c>
      <c r="V431" s="7">
        <f t="shared" si="6"/>
        <v>0</v>
      </c>
    </row>
    <row r="432" spans="1:22">
      <c r="A432" t="s">
        <v>1541</v>
      </c>
      <c r="B432" t="s">
        <v>778</v>
      </c>
      <c r="C432" t="s">
        <v>35</v>
      </c>
      <c r="D432" s="2">
        <v>364.47031924050998</v>
      </c>
      <c r="E432" s="4">
        <v>45975</v>
      </c>
      <c r="F432" t="s">
        <v>1542</v>
      </c>
      <c r="G432" t="s">
        <v>92</v>
      </c>
      <c r="H432" t="s">
        <v>1762</v>
      </c>
      <c r="I432" t="s">
        <v>75</v>
      </c>
      <c r="J432" t="s">
        <v>60</v>
      </c>
      <c r="K432" t="s">
        <v>1543</v>
      </c>
      <c r="L432" t="s">
        <v>81</v>
      </c>
      <c r="M432" s="2">
        <v>1913.2540644774299</v>
      </c>
      <c r="N432" s="2">
        <v>0</v>
      </c>
      <c r="O432" t="s">
        <v>43</v>
      </c>
      <c r="P432">
        <v>3</v>
      </c>
      <c r="Q432" t="s">
        <v>63</v>
      </c>
      <c r="R432" t="s">
        <v>45</v>
      </c>
      <c r="S432" s="2">
        <v>0</v>
      </c>
      <c r="T432" s="2">
        <v>56.3867031891767</v>
      </c>
      <c r="U432" t="str">
        <f>_xlfn.IFS(Table13[[#This Row],[Risk_Score]]&gt;80,"High",AND(Table13[[#This Row],[Risk_Score]]&lt;=80,Table13[[#This Row],[Risk_Score]]&gt;45),"Normal",Table13[[#This Row],[Risk_Score]]&lt;=45,"Low")</f>
        <v>Normal</v>
      </c>
      <c r="V432" s="7">
        <f t="shared" si="6"/>
        <v>1913.2540644774299</v>
      </c>
    </row>
    <row r="433" spans="1:22">
      <c r="A433" t="s">
        <v>1544</v>
      </c>
      <c r="B433" t="s">
        <v>1545</v>
      </c>
      <c r="C433" t="s">
        <v>85</v>
      </c>
      <c r="D433" s="2">
        <v>39009.962861922701</v>
      </c>
      <c r="E433" s="4">
        <v>45975</v>
      </c>
      <c r="F433" t="s">
        <v>1546</v>
      </c>
      <c r="G433" t="s">
        <v>141</v>
      </c>
      <c r="H433" t="s">
        <v>1762</v>
      </c>
      <c r="I433" t="s">
        <v>26</v>
      </c>
      <c r="J433" t="s">
        <v>87</v>
      </c>
      <c r="K433" t="s">
        <v>1547</v>
      </c>
      <c r="L433" t="s">
        <v>29</v>
      </c>
      <c r="M433" s="2">
        <v>1134.67402012046</v>
      </c>
      <c r="N433" s="2">
        <v>27.550767579415499</v>
      </c>
      <c r="O433" t="s">
        <v>54</v>
      </c>
      <c r="P433">
        <v>0</v>
      </c>
      <c r="Q433" t="s">
        <v>95</v>
      </c>
      <c r="R433" t="s">
        <v>133</v>
      </c>
      <c r="S433" s="2">
        <v>11.930020226762</v>
      </c>
      <c r="T433" s="2">
        <v>91.485780592075997</v>
      </c>
      <c r="U433" t="str">
        <f>_xlfn.IFS(Table13[[#This Row],[Risk_Score]]&gt;80,"High",AND(Table13[[#This Row],[Risk_Score]]&lt;=80,Table13[[#This Row],[Risk_Score]]&gt;45),"Normal",Table13[[#This Row],[Risk_Score]]&lt;=45,"Low")</f>
        <v>High</v>
      </c>
      <c r="V433" s="7">
        <f t="shared" si="6"/>
        <v>1107.1232525410401</v>
      </c>
    </row>
    <row r="434" spans="1:22">
      <c r="A434" t="s">
        <v>1548</v>
      </c>
      <c r="B434" t="s">
        <v>253</v>
      </c>
      <c r="C434" t="s">
        <v>35</v>
      </c>
      <c r="D434" s="2">
        <v>11053.575201539799</v>
      </c>
      <c r="E434" s="4">
        <v>45975</v>
      </c>
      <c r="F434" t="s">
        <v>1549</v>
      </c>
      <c r="G434" t="s">
        <v>163</v>
      </c>
      <c r="H434" t="s">
        <v>1762</v>
      </c>
      <c r="I434" t="s">
        <v>26</v>
      </c>
      <c r="J434" t="s">
        <v>60</v>
      </c>
      <c r="K434" t="s">
        <v>1550</v>
      </c>
      <c r="L434" t="s">
        <v>29</v>
      </c>
      <c r="M434" s="2">
        <v>2427.4565810172098</v>
      </c>
      <c r="N434" s="2">
        <v>229.67182779697799</v>
      </c>
      <c r="O434" t="s">
        <v>43</v>
      </c>
      <c r="P434">
        <v>3</v>
      </c>
      <c r="Q434" t="s">
        <v>31</v>
      </c>
      <c r="R434" t="s">
        <v>32</v>
      </c>
      <c r="S434" s="2">
        <v>-28.797240028046101</v>
      </c>
      <c r="T434" s="2">
        <v>1.8927640511463499</v>
      </c>
      <c r="U434" t="str">
        <f>_xlfn.IFS(Table13[[#This Row],[Risk_Score]]&gt;80,"High",AND(Table13[[#This Row],[Risk_Score]]&lt;=80,Table13[[#This Row],[Risk_Score]]&gt;45),"Normal",Table13[[#This Row],[Risk_Score]]&lt;=45,"Low")</f>
        <v>Low</v>
      </c>
      <c r="V434" s="7">
        <f t="shared" si="6"/>
        <v>2197.78475322023</v>
      </c>
    </row>
    <row r="435" spans="1:22">
      <c r="A435" t="s">
        <v>1551</v>
      </c>
      <c r="B435" t="s">
        <v>273</v>
      </c>
      <c r="C435" t="s">
        <v>85</v>
      </c>
      <c r="D435" s="2">
        <v>9304.6972838009206</v>
      </c>
      <c r="E435" s="4">
        <v>45976</v>
      </c>
      <c r="F435" t="s">
        <v>1552</v>
      </c>
      <c r="G435" t="s">
        <v>37</v>
      </c>
      <c r="H435" t="s">
        <v>1762</v>
      </c>
      <c r="I435" t="s">
        <v>26</v>
      </c>
      <c r="J435" t="s">
        <v>87</v>
      </c>
      <c r="K435" t="s">
        <v>1553</v>
      </c>
      <c r="L435" t="s">
        <v>155</v>
      </c>
      <c r="M435" s="2">
        <v>407.77089048722399</v>
      </c>
      <c r="N435" s="2">
        <v>471.49139203556803</v>
      </c>
      <c r="O435" t="s">
        <v>43</v>
      </c>
      <c r="P435">
        <v>0</v>
      </c>
      <c r="Q435" t="s">
        <v>63</v>
      </c>
      <c r="R435" t="s">
        <v>133</v>
      </c>
      <c r="S435" s="2">
        <v>0.265484763806214</v>
      </c>
      <c r="T435" s="2">
        <v>47.8644870550525</v>
      </c>
      <c r="U435" t="str">
        <f>_xlfn.IFS(Table13[[#This Row],[Risk_Score]]&gt;80,"High",AND(Table13[[#This Row],[Risk_Score]]&lt;=80,Table13[[#This Row],[Risk_Score]]&gt;45),"Normal",Table13[[#This Row],[Risk_Score]]&lt;=45,"Low")</f>
        <v>Normal</v>
      </c>
      <c r="V435" s="7">
        <f t="shared" si="6"/>
        <v>0</v>
      </c>
    </row>
    <row r="436" spans="1:22">
      <c r="A436" t="s">
        <v>1554</v>
      </c>
      <c r="B436" t="s">
        <v>629</v>
      </c>
      <c r="C436" t="s">
        <v>22</v>
      </c>
      <c r="D436" s="2">
        <v>30136.5762374939</v>
      </c>
      <c r="E436" s="4">
        <v>45976</v>
      </c>
      <c r="F436" t="s">
        <v>1555</v>
      </c>
      <c r="G436" t="s">
        <v>37</v>
      </c>
      <c r="H436" t="s">
        <v>38</v>
      </c>
      <c r="I436" t="s">
        <v>99</v>
      </c>
      <c r="J436" t="s">
        <v>87</v>
      </c>
      <c r="K436" t="s">
        <v>1556</v>
      </c>
      <c r="L436" t="s">
        <v>155</v>
      </c>
      <c r="M436" s="2">
        <v>4720.6920129741302</v>
      </c>
      <c r="N436" s="2">
        <v>0</v>
      </c>
      <c r="O436" t="s">
        <v>54</v>
      </c>
      <c r="P436">
        <v>3</v>
      </c>
      <c r="Q436" t="s">
        <v>95</v>
      </c>
      <c r="R436" t="s">
        <v>32</v>
      </c>
      <c r="S436" s="2">
        <v>19.228140981651201</v>
      </c>
      <c r="T436" s="2">
        <v>81.190911495990505</v>
      </c>
      <c r="U436" t="str">
        <f>_xlfn.IFS(Table13[[#This Row],[Risk_Score]]&gt;80,"High",AND(Table13[[#This Row],[Risk_Score]]&lt;=80,Table13[[#This Row],[Risk_Score]]&gt;45),"Normal",Table13[[#This Row],[Risk_Score]]&lt;=45,"Low")</f>
        <v>High</v>
      </c>
      <c r="V436" s="7">
        <f t="shared" si="6"/>
        <v>4720.6920129741302</v>
      </c>
    </row>
    <row r="437" spans="1:22">
      <c r="A437" t="s">
        <v>1557</v>
      </c>
      <c r="B437" t="s">
        <v>234</v>
      </c>
      <c r="C437" t="s">
        <v>35</v>
      </c>
      <c r="D437" s="2">
        <v>27188.180599609099</v>
      </c>
      <c r="E437" s="4">
        <v>45976</v>
      </c>
      <c r="F437" t="s">
        <v>1558</v>
      </c>
      <c r="G437" t="s">
        <v>50</v>
      </c>
      <c r="H437" t="s">
        <v>25</v>
      </c>
      <c r="I437" t="s">
        <v>26</v>
      </c>
      <c r="J437" t="s">
        <v>60</v>
      </c>
      <c r="K437" t="s">
        <v>1559</v>
      </c>
      <c r="L437" t="s">
        <v>42</v>
      </c>
      <c r="M437" s="2">
        <v>4207.9889149914998</v>
      </c>
      <c r="N437" s="2">
        <v>0</v>
      </c>
      <c r="O437" t="s">
        <v>43</v>
      </c>
      <c r="P437">
        <v>4</v>
      </c>
      <c r="Q437" t="s">
        <v>31</v>
      </c>
      <c r="R437" t="s">
        <v>32</v>
      </c>
      <c r="S437" s="2">
        <v>-14.5991645009842</v>
      </c>
      <c r="T437" s="2">
        <v>99.071255862310494</v>
      </c>
      <c r="U437" t="str">
        <f>_xlfn.IFS(Table13[[#This Row],[Risk_Score]]&gt;80,"High",AND(Table13[[#This Row],[Risk_Score]]&lt;=80,Table13[[#This Row],[Risk_Score]]&gt;45),"Normal",Table13[[#This Row],[Risk_Score]]&lt;=45,"Low")</f>
        <v>High</v>
      </c>
      <c r="V437" s="7">
        <f t="shared" si="6"/>
        <v>4207.9889149914998</v>
      </c>
    </row>
    <row r="438" spans="1:22">
      <c r="A438" t="s">
        <v>1560</v>
      </c>
      <c r="B438" t="s">
        <v>104</v>
      </c>
      <c r="C438" t="s">
        <v>35</v>
      </c>
      <c r="D438" s="2">
        <v>16674.105991481501</v>
      </c>
      <c r="E438" s="4">
        <v>45977</v>
      </c>
      <c r="F438" t="s">
        <v>1561</v>
      </c>
      <c r="G438" t="s">
        <v>141</v>
      </c>
      <c r="H438" t="s">
        <v>25</v>
      </c>
      <c r="I438" t="s">
        <v>26</v>
      </c>
      <c r="J438" t="s">
        <v>87</v>
      </c>
      <c r="K438" t="s">
        <v>1562</v>
      </c>
      <c r="L438" t="s">
        <v>53</v>
      </c>
      <c r="M438" s="2">
        <v>3161.4036832040501</v>
      </c>
      <c r="N438" s="2">
        <v>233.630498003751</v>
      </c>
      <c r="O438" t="s">
        <v>54</v>
      </c>
      <c r="P438">
        <v>2</v>
      </c>
      <c r="Q438" t="s">
        <v>31</v>
      </c>
      <c r="R438" t="s">
        <v>45</v>
      </c>
      <c r="S438" s="2">
        <v>11.6443400118591</v>
      </c>
      <c r="T438" s="2">
        <v>59.970441340809998</v>
      </c>
      <c r="U438" t="str">
        <f>_xlfn.IFS(Table13[[#This Row],[Risk_Score]]&gt;80,"High",AND(Table13[[#This Row],[Risk_Score]]&lt;=80,Table13[[#This Row],[Risk_Score]]&gt;45),"Normal",Table13[[#This Row],[Risk_Score]]&lt;=45,"Low")</f>
        <v>Normal</v>
      </c>
      <c r="V438" s="7">
        <f t="shared" si="6"/>
        <v>2927.7731852002998</v>
      </c>
    </row>
    <row r="439" spans="1:22">
      <c r="A439" t="s">
        <v>1563</v>
      </c>
      <c r="B439" t="s">
        <v>1446</v>
      </c>
      <c r="C439" t="s">
        <v>48</v>
      </c>
      <c r="D439" s="2">
        <v>29413.934851280301</v>
      </c>
      <c r="E439" s="4">
        <v>45977</v>
      </c>
      <c r="F439" t="s">
        <v>1564</v>
      </c>
      <c r="G439" t="s">
        <v>141</v>
      </c>
      <c r="H439" t="s">
        <v>1762</v>
      </c>
      <c r="I439" t="s">
        <v>99</v>
      </c>
      <c r="J439" t="s">
        <v>87</v>
      </c>
      <c r="K439" t="s">
        <v>1565</v>
      </c>
      <c r="L439" t="s">
        <v>42</v>
      </c>
      <c r="M439" s="2">
        <v>4252.1731539065604</v>
      </c>
      <c r="N439" s="2">
        <v>319.55392349735303</v>
      </c>
      <c r="O439" t="s">
        <v>43</v>
      </c>
      <c r="P439">
        <v>4</v>
      </c>
      <c r="Q439" t="s">
        <v>95</v>
      </c>
      <c r="R439" t="s">
        <v>133</v>
      </c>
      <c r="S439" s="2">
        <v>11.2746054873195</v>
      </c>
      <c r="T439" s="2">
        <v>60.902894470691599</v>
      </c>
      <c r="U439" t="str">
        <f>_xlfn.IFS(Table13[[#This Row],[Risk_Score]]&gt;80,"High",AND(Table13[[#This Row],[Risk_Score]]&lt;=80,Table13[[#This Row],[Risk_Score]]&gt;45),"Normal",Table13[[#This Row],[Risk_Score]]&lt;=45,"Low")</f>
        <v>Normal</v>
      </c>
      <c r="V439" s="7">
        <f t="shared" si="6"/>
        <v>3932.6192304092101</v>
      </c>
    </row>
    <row r="440" spans="1:22">
      <c r="A440" t="s">
        <v>1566</v>
      </c>
      <c r="B440" t="s">
        <v>338</v>
      </c>
      <c r="C440" t="s">
        <v>35</v>
      </c>
      <c r="D440" s="2">
        <v>36867.441522206202</v>
      </c>
      <c r="E440" s="4">
        <v>45980</v>
      </c>
      <c r="F440" t="s">
        <v>1567</v>
      </c>
      <c r="G440" t="s">
        <v>37</v>
      </c>
      <c r="H440" t="s">
        <v>38</v>
      </c>
      <c r="I440" t="s">
        <v>99</v>
      </c>
      <c r="J440" t="s">
        <v>60</v>
      </c>
      <c r="K440" t="s">
        <v>1568</v>
      </c>
      <c r="L440" t="s">
        <v>29</v>
      </c>
      <c r="M440" s="2">
        <v>899.40201697269003</v>
      </c>
      <c r="N440" s="2">
        <v>0</v>
      </c>
      <c r="O440" t="s">
        <v>62</v>
      </c>
      <c r="P440">
        <v>1</v>
      </c>
      <c r="Q440" t="s">
        <v>63</v>
      </c>
      <c r="R440" t="s">
        <v>45</v>
      </c>
      <c r="S440" s="2">
        <v>15.6186990662654</v>
      </c>
      <c r="T440" s="2">
        <v>47.9519237111354</v>
      </c>
      <c r="U440" t="str">
        <f>_xlfn.IFS(Table13[[#This Row],[Risk_Score]]&gt;80,"High",AND(Table13[[#This Row],[Risk_Score]]&lt;=80,Table13[[#This Row],[Risk_Score]]&gt;45),"Normal",Table13[[#This Row],[Risk_Score]]&lt;=45,"Low")</f>
        <v>Normal</v>
      </c>
      <c r="V440" s="7">
        <f t="shared" si="6"/>
        <v>899.40201697269003</v>
      </c>
    </row>
    <row r="441" spans="1:22">
      <c r="A441" t="s">
        <v>1569</v>
      </c>
      <c r="B441" t="s">
        <v>1535</v>
      </c>
      <c r="C441" t="s">
        <v>22</v>
      </c>
      <c r="D441" s="2">
        <v>41060.987510352301</v>
      </c>
      <c r="E441" s="4">
        <v>45980</v>
      </c>
      <c r="F441" t="s">
        <v>1570</v>
      </c>
      <c r="G441" t="s">
        <v>37</v>
      </c>
      <c r="H441" t="s">
        <v>1762</v>
      </c>
      <c r="I441" t="s">
        <v>75</v>
      </c>
      <c r="J441" t="s">
        <v>60</v>
      </c>
      <c r="K441" t="s">
        <v>1571</v>
      </c>
      <c r="L441" t="s">
        <v>53</v>
      </c>
      <c r="M441" s="2">
        <v>571.75616548302605</v>
      </c>
      <c r="N441" s="2">
        <v>0</v>
      </c>
      <c r="O441" t="s">
        <v>54</v>
      </c>
      <c r="P441">
        <v>2</v>
      </c>
      <c r="Q441" t="s">
        <v>1763</v>
      </c>
      <c r="R441" t="s">
        <v>45</v>
      </c>
      <c r="S441" s="2">
        <v>28.086734184367</v>
      </c>
      <c r="T441" s="2">
        <v>16.251564475711501</v>
      </c>
      <c r="U441" t="str">
        <f>_xlfn.IFS(Table13[[#This Row],[Risk_Score]]&gt;80,"High",AND(Table13[[#This Row],[Risk_Score]]&lt;=80,Table13[[#This Row],[Risk_Score]]&gt;45),"Normal",Table13[[#This Row],[Risk_Score]]&lt;=45,"Low")</f>
        <v>Low</v>
      </c>
      <c r="V441" s="7">
        <f t="shared" si="6"/>
        <v>571.75616548302605</v>
      </c>
    </row>
    <row r="442" spans="1:22">
      <c r="A442" t="s">
        <v>1572</v>
      </c>
      <c r="B442" t="s">
        <v>84</v>
      </c>
      <c r="C442" t="s">
        <v>22</v>
      </c>
      <c r="D442" s="2">
        <v>10535.6264748179</v>
      </c>
      <c r="E442" s="4">
        <v>45981</v>
      </c>
      <c r="F442" t="s">
        <v>1573</v>
      </c>
      <c r="G442" t="s">
        <v>59</v>
      </c>
      <c r="H442" t="s">
        <v>38</v>
      </c>
      <c r="I442" t="s">
        <v>75</v>
      </c>
      <c r="J442" t="s">
        <v>87</v>
      </c>
      <c r="K442" t="s">
        <v>1553</v>
      </c>
      <c r="L442" t="s">
        <v>53</v>
      </c>
      <c r="M442" s="2">
        <v>4273.9796219660002</v>
      </c>
      <c r="N442" s="2">
        <v>422.43204270525399</v>
      </c>
      <c r="O442" t="s">
        <v>62</v>
      </c>
      <c r="P442">
        <v>4</v>
      </c>
      <c r="Q442" t="s">
        <v>55</v>
      </c>
      <c r="R442" t="s">
        <v>32</v>
      </c>
      <c r="S442" s="2">
        <v>16.455068862040299</v>
      </c>
      <c r="T442" s="2">
        <v>89.397266842442903</v>
      </c>
      <c r="U442" t="str">
        <f>_xlfn.IFS(Table13[[#This Row],[Risk_Score]]&gt;80,"High",AND(Table13[[#This Row],[Risk_Score]]&lt;=80,Table13[[#This Row],[Risk_Score]]&gt;45),"Normal",Table13[[#This Row],[Risk_Score]]&lt;=45,"Low")</f>
        <v>High</v>
      </c>
      <c r="V442" s="7">
        <f t="shared" si="6"/>
        <v>3851.5475792607499</v>
      </c>
    </row>
    <row r="443" spans="1:22">
      <c r="A443" t="s">
        <v>1574</v>
      </c>
      <c r="B443" t="s">
        <v>562</v>
      </c>
      <c r="C443" t="s">
        <v>48</v>
      </c>
      <c r="D443" s="2">
        <v>28700.227377943698</v>
      </c>
      <c r="E443" s="4">
        <v>45981</v>
      </c>
      <c r="F443" t="s">
        <v>1575</v>
      </c>
      <c r="G443" t="s">
        <v>172</v>
      </c>
      <c r="H443" t="s">
        <v>1762</v>
      </c>
      <c r="I443" t="s">
        <v>99</v>
      </c>
      <c r="J443" t="s">
        <v>87</v>
      </c>
      <c r="K443" t="s">
        <v>1576</v>
      </c>
      <c r="L443" t="s">
        <v>29</v>
      </c>
      <c r="M443" s="2">
        <v>0</v>
      </c>
      <c r="N443" s="2">
        <v>0</v>
      </c>
      <c r="O443" t="s">
        <v>43</v>
      </c>
      <c r="P443">
        <v>3</v>
      </c>
      <c r="Q443" t="s">
        <v>1763</v>
      </c>
      <c r="R443" t="s">
        <v>133</v>
      </c>
      <c r="S443" s="2">
        <v>10.110294069059</v>
      </c>
      <c r="T443" s="2">
        <v>36.250973132212401</v>
      </c>
      <c r="U443" t="str">
        <f>_xlfn.IFS(Table13[[#This Row],[Risk_Score]]&gt;80,"High",AND(Table13[[#This Row],[Risk_Score]]&lt;=80,Table13[[#This Row],[Risk_Score]]&gt;45),"Normal",Table13[[#This Row],[Risk_Score]]&lt;=45,"Low")</f>
        <v>Low</v>
      </c>
      <c r="V443" s="7">
        <f t="shared" si="6"/>
        <v>0</v>
      </c>
    </row>
    <row r="444" spans="1:22">
      <c r="A444" t="s">
        <v>1577</v>
      </c>
      <c r="B444" t="s">
        <v>139</v>
      </c>
      <c r="C444" t="s">
        <v>85</v>
      </c>
      <c r="D444" s="2">
        <v>19634.957299054899</v>
      </c>
      <c r="E444" s="4">
        <v>45983</v>
      </c>
      <c r="F444" t="s">
        <v>1578</v>
      </c>
      <c r="G444" t="s">
        <v>24</v>
      </c>
      <c r="H444" t="s">
        <v>38</v>
      </c>
      <c r="I444" t="s">
        <v>26</v>
      </c>
      <c r="J444" t="s">
        <v>60</v>
      </c>
      <c r="K444" t="s">
        <v>1579</v>
      </c>
      <c r="L444" t="s">
        <v>81</v>
      </c>
      <c r="M444" s="2">
        <v>4888.6064781340201</v>
      </c>
      <c r="N444" s="2">
        <v>417.16239787469902</v>
      </c>
      <c r="O444" t="s">
        <v>43</v>
      </c>
      <c r="P444">
        <v>0</v>
      </c>
      <c r="Q444" t="s">
        <v>63</v>
      </c>
      <c r="R444" t="s">
        <v>45</v>
      </c>
      <c r="S444" s="2">
        <v>-12.424487795812601</v>
      </c>
      <c r="T444" s="2">
        <v>45.386861999593599</v>
      </c>
      <c r="U444" t="str">
        <f>_xlfn.IFS(Table13[[#This Row],[Risk_Score]]&gt;80,"High",AND(Table13[[#This Row],[Risk_Score]]&lt;=80,Table13[[#This Row],[Risk_Score]]&gt;45),"Normal",Table13[[#This Row],[Risk_Score]]&lt;=45,"Low")</f>
        <v>Normal</v>
      </c>
      <c r="V444" s="7">
        <f t="shared" si="6"/>
        <v>4471.4440802593199</v>
      </c>
    </row>
    <row r="445" spans="1:22">
      <c r="A445" t="s">
        <v>1580</v>
      </c>
      <c r="B445" t="s">
        <v>203</v>
      </c>
      <c r="C445" t="s">
        <v>35</v>
      </c>
      <c r="D445" s="2">
        <v>24441.709060355999</v>
      </c>
      <c r="E445" s="4">
        <v>45985</v>
      </c>
      <c r="F445" t="s">
        <v>1581</v>
      </c>
      <c r="G445" t="s">
        <v>141</v>
      </c>
      <c r="H445" t="s">
        <v>1762</v>
      </c>
      <c r="I445" t="s">
        <v>51</v>
      </c>
      <c r="J445" t="s">
        <v>60</v>
      </c>
      <c r="K445" t="s">
        <v>1582</v>
      </c>
      <c r="L445" t="s">
        <v>53</v>
      </c>
      <c r="M445" s="2">
        <v>4480.5301897991703</v>
      </c>
      <c r="N445" s="2">
        <v>78.181070822437505</v>
      </c>
      <c r="O445" t="s">
        <v>43</v>
      </c>
      <c r="P445">
        <v>0</v>
      </c>
      <c r="Q445" t="s">
        <v>55</v>
      </c>
      <c r="R445" t="s">
        <v>45</v>
      </c>
      <c r="S445" s="2">
        <v>2.44545011324138</v>
      </c>
      <c r="T445" s="2">
        <v>10.9636282535186</v>
      </c>
      <c r="U445" t="str">
        <f>_xlfn.IFS(Table13[[#This Row],[Risk_Score]]&gt;80,"High",AND(Table13[[#This Row],[Risk_Score]]&lt;=80,Table13[[#This Row],[Risk_Score]]&gt;45),"Normal",Table13[[#This Row],[Risk_Score]]&lt;=45,"Low")</f>
        <v>Low</v>
      </c>
      <c r="V445" s="7">
        <f t="shared" si="6"/>
        <v>4402.3491189767301</v>
      </c>
    </row>
    <row r="446" spans="1:22">
      <c r="A446" t="s">
        <v>1583</v>
      </c>
      <c r="B446" t="s">
        <v>1584</v>
      </c>
      <c r="C446" t="s">
        <v>85</v>
      </c>
      <c r="D446" s="2">
        <v>38714.342707746902</v>
      </c>
      <c r="E446" s="4">
        <v>45985</v>
      </c>
      <c r="F446" t="s">
        <v>1585</v>
      </c>
      <c r="G446" t="s">
        <v>68</v>
      </c>
      <c r="H446" t="s">
        <v>25</v>
      </c>
      <c r="I446" t="s">
        <v>51</v>
      </c>
      <c r="J446" t="s">
        <v>87</v>
      </c>
      <c r="K446" t="s">
        <v>1586</v>
      </c>
      <c r="L446" t="s">
        <v>42</v>
      </c>
      <c r="M446" s="2">
        <v>2937.9365191412498</v>
      </c>
      <c r="N446" s="2">
        <v>181.14674500010199</v>
      </c>
      <c r="O446" t="s">
        <v>54</v>
      </c>
      <c r="P446">
        <v>0</v>
      </c>
      <c r="Q446" t="s">
        <v>1763</v>
      </c>
      <c r="R446" t="s">
        <v>32</v>
      </c>
      <c r="S446" s="2">
        <v>-12.5150916794371</v>
      </c>
      <c r="T446" s="2">
        <v>23.400528716037002</v>
      </c>
      <c r="U446" t="str">
        <f>_xlfn.IFS(Table13[[#This Row],[Risk_Score]]&gt;80,"High",AND(Table13[[#This Row],[Risk_Score]]&lt;=80,Table13[[#This Row],[Risk_Score]]&gt;45),"Normal",Table13[[#This Row],[Risk_Score]]&lt;=45,"Low")</f>
        <v>Low</v>
      </c>
      <c r="V446" s="7">
        <f t="shared" si="6"/>
        <v>2756.7897741411498</v>
      </c>
    </row>
    <row r="447" spans="1:22">
      <c r="A447" t="s">
        <v>1587</v>
      </c>
      <c r="B447" t="s">
        <v>1588</v>
      </c>
      <c r="C447" t="s">
        <v>35</v>
      </c>
      <c r="D447" s="2">
        <v>782.231044867165</v>
      </c>
      <c r="E447" s="4">
        <v>45985</v>
      </c>
      <c r="F447" t="s">
        <v>1589</v>
      </c>
      <c r="G447" t="s">
        <v>92</v>
      </c>
      <c r="H447" t="s">
        <v>25</v>
      </c>
      <c r="I447" t="s">
        <v>26</v>
      </c>
      <c r="J447" t="s">
        <v>60</v>
      </c>
      <c r="K447" t="s">
        <v>609</v>
      </c>
      <c r="L447" t="s">
        <v>29</v>
      </c>
      <c r="M447" s="2">
        <v>171.859020014131</v>
      </c>
      <c r="N447" s="2">
        <v>0</v>
      </c>
      <c r="O447" t="s">
        <v>43</v>
      </c>
      <c r="P447">
        <v>1</v>
      </c>
      <c r="Q447" t="s">
        <v>1763</v>
      </c>
      <c r="R447" t="s">
        <v>45</v>
      </c>
      <c r="S447" s="2">
        <v>-12.139274486257699</v>
      </c>
      <c r="T447" s="2">
        <v>70.565933387394693</v>
      </c>
      <c r="U447" t="str">
        <f>_xlfn.IFS(Table13[[#This Row],[Risk_Score]]&gt;80,"High",AND(Table13[[#This Row],[Risk_Score]]&lt;=80,Table13[[#This Row],[Risk_Score]]&gt;45),"Normal",Table13[[#This Row],[Risk_Score]]&lt;=45,"Low")</f>
        <v>Normal</v>
      </c>
      <c r="V447" s="7">
        <f t="shared" si="6"/>
        <v>171.859020014131</v>
      </c>
    </row>
    <row r="448" spans="1:22">
      <c r="A448" t="s">
        <v>1590</v>
      </c>
      <c r="B448" t="s">
        <v>234</v>
      </c>
      <c r="C448" t="s">
        <v>85</v>
      </c>
      <c r="D448" s="2">
        <v>17212.0505274852</v>
      </c>
      <c r="E448" s="4">
        <v>45986</v>
      </c>
      <c r="F448" t="s">
        <v>1591</v>
      </c>
      <c r="G448" t="s">
        <v>172</v>
      </c>
      <c r="H448" t="s">
        <v>1762</v>
      </c>
      <c r="I448" t="s">
        <v>75</v>
      </c>
      <c r="J448" t="s">
        <v>87</v>
      </c>
      <c r="K448" t="s">
        <v>1592</v>
      </c>
      <c r="L448" t="s">
        <v>81</v>
      </c>
      <c r="M448" s="2">
        <v>4977.5970541167299</v>
      </c>
      <c r="N448" s="2">
        <v>0</v>
      </c>
      <c r="O448" t="s">
        <v>54</v>
      </c>
      <c r="P448">
        <v>1</v>
      </c>
      <c r="Q448" t="s">
        <v>55</v>
      </c>
      <c r="R448" t="s">
        <v>45</v>
      </c>
      <c r="S448" s="2">
        <v>22.4992612831591</v>
      </c>
      <c r="T448" s="2">
        <v>3.3545871412157799</v>
      </c>
      <c r="U448" t="str">
        <f>_xlfn.IFS(Table13[[#This Row],[Risk_Score]]&gt;80,"High",AND(Table13[[#This Row],[Risk_Score]]&lt;=80,Table13[[#This Row],[Risk_Score]]&gt;45),"Normal",Table13[[#This Row],[Risk_Score]]&lt;=45,"Low")</f>
        <v>Low</v>
      </c>
      <c r="V448" s="7">
        <f t="shared" si="6"/>
        <v>4977.5970541167299</v>
      </c>
    </row>
    <row r="449" spans="1:22">
      <c r="A449" t="s">
        <v>1593</v>
      </c>
      <c r="B449" t="s">
        <v>1176</v>
      </c>
      <c r="C449" t="s">
        <v>35</v>
      </c>
      <c r="D449" s="2">
        <v>18926.569665579402</v>
      </c>
      <c r="E449" s="4">
        <v>45987</v>
      </c>
      <c r="F449" t="s">
        <v>1594</v>
      </c>
      <c r="G449" t="s">
        <v>181</v>
      </c>
      <c r="H449" t="s">
        <v>1762</v>
      </c>
      <c r="I449" t="s">
        <v>99</v>
      </c>
      <c r="J449" t="s">
        <v>87</v>
      </c>
      <c r="K449" t="s">
        <v>1595</v>
      </c>
      <c r="L449" t="s">
        <v>29</v>
      </c>
      <c r="M449" s="2">
        <v>3399.39094235824</v>
      </c>
      <c r="N449" s="2">
        <v>0</v>
      </c>
      <c r="O449" t="s">
        <v>62</v>
      </c>
      <c r="P449">
        <v>1</v>
      </c>
      <c r="Q449" t="s">
        <v>95</v>
      </c>
      <c r="R449" t="s">
        <v>45</v>
      </c>
      <c r="S449" s="2">
        <v>-9.2240375079150905</v>
      </c>
      <c r="T449" s="2">
        <v>32.226039381948503</v>
      </c>
      <c r="U449" t="str">
        <f>_xlfn.IFS(Table13[[#This Row],[Risk_Score]]&gt;80,"High",AND(Table13[[#This Row],[Risk_Score]]&lt;=80,Table13[[#This Row],[Risk_Score]]&gt;45),"Normal",Table13[[#This Row],[Risk_Score]]&lt;=45,"Low")</f>
        <v>Low</v>
      </c>
      <c r="V449" s="7">
        <f t="shared" si="6"/>
        <v>3399.39094235824</v>
      </c>
    </row>
    <row r="450" spans="1:22">
      <c r="A450" t="s">
        <v>1596</v>
      </c>
      <c r="B450" t="s">
        <v>1368</v>
      </c>
      <c r="C450" t="s">
        <v>85</v>
      </c>
      <c r="D450" s="2">
        <v>44992.405117536102</v>
      </c>
      <c r="E450" s="4">
        <v>45989</v>
      </c>
      <c r="F450" t="s">
        <v>1597</v>
      </c>
      <c r="G450" t="s">
        <v>50</v>
      </c>
      <c r="H450" t="s">
        <v>1762</v>
      </c>
      <c r="I450" t="s">
        <v>26</v>
      </c>
      <c r="J450" t="s">
        <v>60</v>
      </c>
      <c r="K450" t="s">
        <v>1598</v>
      </c>
      <c r="L450" t="s">
        <v>53</v>
      </c>
      <c r="M450" s="2">
        <v>0</v>
      </c>
      <c r="N450" s="2">
        <v>0</v>
      </c>
      <c r="O450" t="s">
        <v>43</v>
      </c>
      <c r="P450">
        <v>2</v>
      </c>
      <c r="Q450" t="s">
        <v>44</v>
      </c>
      <c r="R450" t="s">
        <v>133</v>
      </c>
      <c r="S450" s="2">
        <v>21.2554836932364</v>
      </c>
      <c r="T450" s="2">
        <v>58.186526650470803</v>
      </c>
      <c r="U450" t="str">
        <f>_xlfn.IFS(Table13[[#This Row],[Risk_Score]]&gt;80,"High",AND(Table13[[#This Row],[Risk_Score]]&lt;=80,Table13[[#This Row],[Risk_Score]]&gt;45),"Normal",Table13[[#This Row],[Risk_Score]]&lt;=45,"Low")</f>
        <v>Normal</v>
      </c>
      <c r="V450" s="7">
        <f t="shared" ref="V450:V501" si="7">IF(M450-N450&gt;0,M450-N450,0)</f>
        <v>0</v>
      </c>
    </row>
    <row r="451" spans="1:22">
      <c r="A451" t="s">
        <v>1599</v>
      </c>
      <c r="B451" t="s">
        <v>432</v>
      </c>
      <c r="C451" t="s">
        <v>22</v>
      </c>
      <c r="D451" s="2">
        <v>36104.489769983098</v>
      </c>
      <c r="E451" s="4">
        <v>45989</v>
      </c>
      <c r="F451" t="s">
        <v>1600</v>
      </c>
      <c r="G451" t="s">
        <v>163</v>
      </c>
      <c r="H451" t="s">
        <v>38</v>
      </c>
      <c r="I451" t="s">
        <v>99</v>
      </c>
      <c r="J451" t="s">
        <v>87</v>
      </c>
      <c r="K451" t="s">
        <v>1601</v>
      </c>
      <c r="L451" t="s">
        <v>120</v>
      </c>
      <c r="M451" s="2">
        <v>3417.90284812448</v>
      </c>
      <c r="N451" s="2">
        <v>0</v>
      </c>
      <c r="O451" t="s">
        <v>62</v>
      </c>
      <c r="P451">
        <v>4</v>
      </c>
      <c r="Q451" t="s">
        <v>31</v>
      </c>
      <c r="R451" t="s">
        <v>133</v>
      </c>
      <c r="S451" s="2">
        <v>27.546737519777601</v>
      </c>
      <c r="T451" s="2">
        <v>58.915637739378802</v>
      </c>
      <c r="U451" t="str">
        <f>_xlfn.IFS(Table13[[#This Row],[Risk_Score]]&gt;80,"High",AND(Table13[[#This Row],[Risk_Score]]&lt;=80,Table13[[#This Row],[Risk_Score]]&gt;45),"Normal",Table13[[#This Row],[Risk_Score]]&lt;=45,"Low")</f>
        <v>Normal</v>
      </c>
      <c r="V451" s="7">
        <f t="shared" si="7"/>
        <v>3417.90284812448</v>
      </c>
    </row>
    <row r="452" spans="1:22">
      <c r="A452" t="s">
        <v>1602</v>
      </c>
      <c r="B452" t="s">
        <v>1603</v>
      </c>
      <c r="C452" t="s">
        <v>35</v>
      </c>
      <c r="D452" s="2">
        <v>1687.05360610974</v>
      </c>
      <c r="E452" s="4">
        <v>45990</v>
      </c>
      <c r="F452" t="s">
        <v>1604</v>
      </c>
      <c r="G452" t="s">
        <v>141</v>
      </c>
      <c r="H452" t="s">
        <v>38</v>
      </c>
      <c r="I452" t="s">
        <v>51</v>
      </c>
      <c r="J452" t="s">
        <v>87</v>
      </c>
      <c r="K452" t="s">
        <v>1605</v>
      </c>
      <c r="L452" t="s">
        <v>81</v>
      </c>
      <c r="M452" s="2">
        <v>4933.4874148663303</v>
      </c>
      <c r="N452" s="2">
        <v>0</v>
      </c>
      <c r="O452" t="s">
        <v>54</v>
      </c>
      <c r="P452">
        <v>4</v>
      </c>
      <c r="Q452" t="s">
        <v>1763</v>
      </c>
      <c r="R452" t="s">
        <v>133</v>
      </c>
      <c r="S452" s="2">
        <v>-12.7368939305982</v>
      </c>
      <c r="T452" s="2">
        <v>15.6426918821619</v>
      </c>
      <c r="U452" t="str">
        <f>_xlfn.IFS(Table13[[#This Row],[Risk_Score]]&gt;80,"High",AND(Table13[[#This Row],[Risk_Score]]&lt;=80,Table13[[#This Row],[Risk_Score]]&gt;45),"Normal",Table13[[#This Row],[Risk_Score]]&lt;=45,"Low")</f>
        <v>Low</v>
      </c>
      <c r="V452" s="7">
        <f t="shared" si="7"/>
        <v>4933.4874148663303</v>
      </c>
    </row>
    <row r="453" spans="1:22">
      <c r="A453" t="s">
        <v>1606</v>
      </c>
      <c r="B453" t="s">
        <v>360</v>
      </c>
      <c r="C453" t="s">
        <v>48</v>
      </c>
      <c r="D453" s="2">
        <v>32368.579463946498</v>
      </c>
      <c r="E453" s="4">
        <v>45991</v>
      </c>
      <c r="F453" t="s">
        <v>1607</v>
      </c>
      <c r="G453" t="s">
        <v>68</v>
      </c>
      <c r="H453" t="s">
        <v>25</v>
      </c>
      <c r="I453" t="s">
        <v>99</v>
      </c>
      <c r="J453" t="s">
        <v>60</v>
      </c>
      <c r="K453" t="s">
        <v>1608</v>
      </c>
      <c r="L453" t="s">
        <v>155</v>
      </c>
      <c r="M453" s="2">
        <v>4075.0808930815301</v>
      </c>
      <c r="N453" s="2">
        <v>121.589990132113</v>
      </c>
      <c r="O453" t="s">
        <v>62</v>
      </c>
      <c r="P453">
        <v>1</v>
      </c>
      <c r="Q453" t="s">
        <v>31</v>
      </c>
      <c r="R453" t="s">
        <v>133</v>
      </c>
      <c r="S453" s="2">
        <v>-9.4786401451210995</v>
      </c>
      <c r="T453" s="2">
        <v>0.98468250120109502</v>
      </c>
      <c r="U453" t="str">
        <f>_xlfn.IFS(Table13[[#This Row],[Risk_Score]]&gt;80,"High",AND(Table13[[#This Row],[Risk_Score]]&lt;=80,Table13[[#This Row],[Risk_Score]]&gt;45),"Normal",Table13[[#This Row],[Risk_Score]]&lt;=45,"Low")</f>
        <v>Low</v>
      </c>
      <c r="V453" s="7">
        <f t="shared" si="7"/>
        <v>3953.4909029494202</v>
      </c>
    </row>
    <row r="454" spans="1:22">
      <c r="A454" t="s">
        <v>1609</v>
      </c>
      <c r="B454" t="s">
        <v>459</v>
      </c>
      <c r="C454" t="s">
        <v>85</v>
      </c>
      <c r="D454" s="2">
        <v>23038.107486780402</v>
      </c>
      <c r="E454" s="4">
        <v>45992</v>
      </c>
      <c r="F454" t="s">
        <v>1610</v>
      </c>
      <c r="G454" t="s">
        <v>181</v>
      </c>
      <c r="H454" t="s">
        <v>38</v>
      </c>
      <c r="I454" t="s">
        <v>51</v>
      </c>
      <c r="J454" t="s">
        <v>87</v>
      </c>
      <c r="K454" t="s">
        <v>1611</v>
      </c>
      <c r="L454" t="s">
        <v>53</v>
      </c>
      <c r="M454" s="2">
        <v>551.83022022582497</v>
      </c>
      <c r="N454" s="2">
        <v>229.651844106537</v>
      </c>
      <c r="O454" t="s">
        <v>62</v>
      </c>
      <c r="P454">
        <v>0</v>
      </c>
      <c r="Q454" t="s">
        <v>1763</v>
      </c>
      <c r="R454" t="s">
        <v>133</v>
      </c>
      <c r="S454" s="2">
        <v>14.9043806643023</v>
      </c>
      <c r="T454" s="2">
        <v>10.226428099711599</v>
      </c>
      <c r="U454" t="str">
        <f>_xlfn.IFS(Table13[[#This Row],[Risk_Score]]&gt;80,"High",AND(Table13[[#This Row],[Risk_Score]]&lt;=80,Table13[[#This Row],[Risk_Score]]&gt;45),"Normal",Table13[[#This Row],[Risk_Score]]&lt;=45,"Low")</f>
        <v>Low</v>
      </c>
      <c r="V454" s="7">
        <f t="shared" si="7"/>
        <v>322.17837611928798</v>
      </c>
    </row>
    <row r="455" spans="1:22">
      <c r="A455" t="s">
        <v>1612</v>
      </c>
      <c r="B455" t="s">
        <v>542</v>
      </c>
      <c r="C455" t="s">
        <v>35</v>
      </c>
      <c r="D455" s="2">
        <v>16707.507717033001</v>
      </c>
      <c r="E455" s="4">
        <v>45992</v>
      </c>
      <c r="F455" t="s">
        <v>1613</v>
      </c>
      <c r="G455" t="s">
        <v>50</v>
      </c>
      <c r="H455" t="s">
        <v>38</v>
      </c>
      <c r="I455" t="s">
        <v>99</v>
      </c>
      <c r="J455" t="s">
        <v>60</v>
      </c>
      <c r="K455" t="s">
        <v>1614</v>
      </c>
      <c r="L455" t="s">
        <v>120</v>
      </c>
      <c r="M455" s="2">
        <v>3559.0506082279098</v>
      </c>
      <c r="N455" s="2">
        <v>0</v>
      </c>
      <c r="O455" t="s">
        <v>43</v>
      </c>
      <c r="P455">
        <v>2</v>
      </c>
      <c r="Q455" t="s">
        <v>55</v>
      </c>
      <c r="R455" t="s">
        <v>45</v>
      </c>
      <c r="S455" s="2">
        <v>-1.19888940932275</v>
      </c>
      <c r="T455" s="2">
        <v>50.645637703651403</v>
      </c>
      <c r="U455" t="str">
        <f>_xlfn.IFS(Table13[[#This Row],[Risk_Score]]&gt;80,"High",AND(Table13[[#This Row],[Risk_Score]]&lt;=80,Table13[[#This Row],[Risk_Score]]&gt;45),"Normal",Table13[[#This Row],[Risk_Score]]&lt;=45,"Low")</f>
        <v>Normal</v>
      </c>
      <c r="V455" s="7">
        <f t="shared" si="7"/>
        <v>3559.0506082279098</v>
      </c>
    </row>
    <row r="456" spans="1:22">
      <c r="A456" t="s">
        <v>1615</v>
      </c>
      <c r="B456" t="s">
        <v>721</v>
      </c>
      <c r="C456" t="s">
        <v>85</v>
      </c>
      <c r="D456" s="2">
        <v>41475.294613255101</v>
      </c>
      <c r="E456" s="4">
        <v>45992</v>
      </c>
      <c r="F456" t="s">
        <v>1616</v>
      </c>
      <c r="G456" t="s">
        <v>163</v>
      </c>
      <c r="H456" t="s">
        <v>38</v>
      </c>
      <c r="I456" t="s">
        <v>26</v>
      </c>
      <c r="J456" t="s">
        <v>60</v>
      </c>
      <c r="K456" t="s">
        <v>1617</v>
      </c>
      <c r="L456" t="s">
        <v>42</v>
      </c>
      <c r="M456" s="2">
        <v>1632.7288172680901</v>
      </c>
      <c r="N456" s="2">
        <v>272.40054263804899</v>
      </c>
      <c r="O456" t="s">
        <v>43</v>
      </c>
      <c r="P456">
        <v>0</v>
      </c>
      <c r="Q456" t="s">
        <v>95</v>
      </c>
      <c r="R456" t="s">
        <v>32</v>
      </c>
      <c r="S456" s="2">
        <v>4.26558974607088</v>
      </c>
      <c r="T456" s="2">
        <v>63.044811565799002</v>
      </c>
      <c r="U456" t="str">
        <f>_xlfn.IFS(Table13[[#This Row],[Risk_Score]]&gt;80,"High",AND(Table13[[#This Row],[Risk_Score]]&lt;=80,Table13[[#This Row],[Risk_Score]]&gt;45),"Normal",Table13[[#This Row],[Risk_Score]]&lt;=45,"Low")</f>
        <v>Normal</v>
      </c>
      <c r="V456" s="7">
        <f t="shared" si="7"/>
        <v>1360.3282746300399</v>
      </c>
    </row>
    <row r="457" spans="1:22">
      <c r="A457" t="s">
        <v>1618</v>
      </c>
      <c r="B457" t="s">
        <v>542</v>
      </c>
      <c r="C457" t="s">
        <v>35</v>
      </c>
      <c r="D457" s="2">
        <v>35390.7817726578</v>
      </c>
      <c r="E457" s="4">
        <v>45993</v>
      </c>
      <c r="F457" t="s">
        <v>1619</v>
      </c>
      <c r="G457" t="s">
        <v>92</v>
      </c>
      <c r="H457" t="s">
        <v>25</v>
      </c>
      <c r="I457" t="s">
        <v>26</v>
      </c>
      <c r="J457" t="s">
        <v>87</v>
      </c>
      <c r="K457" t="s">
        <v>1620</v>
      </c>
      <c r="L457" t="s">
        <v>81</v>
      </c>
      <c r="M457" s="2">
        <v>1573.12892627973</v>
      </c>
      <c r="N457" s="2">
        <v>315.86120916329202</v>
      </c>
      <c r="O457" t="s">
        <v>43</v>
      </c>
      <c r="P457">
        <v>1</v>
      </c>
      <c r="Q457" t="s">
        <v>44</v>
      </c>
      <c r="R457" t="s">
        <v>133</v>
      </c>
      <c r="S457" s="2">
        <v>-3.5866964246300901</v>
      </c>
      <c r="T457" s="2">
        <v>44.577874755947001</v>
      </c>
      <c r="U457" t="str">
        <f>_xlfn.IFS(Table13[[#This Row],[Risk_Score]]&gt;80,"High",AND(Table13[[#This Row],[Risk_Score]]&lt;=80,Table13[[#This Row],[Risk_Score]]&gt;45),"Normal",Table13[[#This Row],[Risk_Score]]&lt;=45,"Low")</f>
        <v>Low</v>
      </c>
      <c r="V457" s="7">
        <f t="shared" si="7"/>
        <v>1257.2677171164401</v>
      </c>
    </row>
    <row r="458" spans="1:22">
      <c r="A458" t="s">
        <v>1621</v>
      </c>
      <c r="B458" t="s">
        <v>289</v>
      </c>
      <c r="C458" t="s">
        <v>85</v>
      </c>
      <c r="D458" s="2">
        <v>1248.8279789031101</v>
      </c>
      <c r="E458" s="4">
        <v>45994</v>
      </c>
      <c r="F458" t="s">
        <v>1622</v>
      </c>
      <c r="G458" t="s">
        <v>50</v>
      </c>
      <c r="H458" t="s">
        <v>38</v>
      </c>
      <c r="I458" t="s">
        <v>99</v>
      </c>
      <c r="J458" t="s">
        <v>87</v>
      </c>
      <c r="K458" t="s">
        <v>1623</v>
      </c>
      <c r="L458" t="s">
        <v>53</v>
      </c>
      <c r="M458" s="2">
        <v>1341.54696926833</v>
      </c>
      <c r="N458" s="2">
        <v>0</v>
      </c>
      <c r="O458" t="s">
        <v>43</v>
      </c>
      <c r="P458">
        <v>3</v>
      </c>
      <c r="Q458" t="s">
        <v>95</v>
      </c>
      <c r="R458" t="s">
        <v>32</v>
      </c>
      <c r="S458" s="2">
        <v>10.7272933356147</v>
      </c>
      <c r="T458" s="2">
        <v>57.099157132597902</v>
      </c>
      <c r="U458" t="str">
        <f>_xlfn.IFS(Table13[[#This Row],[Risk_Score]]&gt;80,"High",AND(Table13[[#This Row],[Risk_Score]]&lt;=80,Table13[[#This Row],[Risk_Score]]&gt;45),"Normal",Table13[[#This Row],[Risk_Score]]&lt;=45,"Low")</f>
        <v>Normal</v>
      </c>
      <c r="V458" s="7">
        <f t="shared" si="7"/>
        <v>1341.54696926833</v>
      </c>
    </row>
    <row r="459" spans="1:22">
      <c r="A459" t="s">
        <v>1624</v>
      </c>
      <c r="B459" t="s">
        <v>139</v>
      </c>
      <c r="C459" t="s">
        <v>22</v>
      </c>
      <c r="D459" s="2">
        <v>14772.829493126501</v>
      </c>
      <c r="E459" s="4">
        <v>45995</v>
      </c>
      <c r="F459" t="s">
        <v>1625</v>
      </c>
      <c r="G459" t="s">
        <v>24</v>
      </c>
      <c r="H459" t="s">
        <v>1762</v>
      </c>
      <c r="I459" t="s">
        <v>99</v>
      </c>
      <c r="J459" t="s">
        <v>87</v>
      </c>
      <c r="K459" t="s">
        <v>1626</v>
      </c>
      <c r="L459" t="s">
        <v>155</v>
      </c>
      <c r="M459" s="2">
        <v>2016.4937905602801</v>
      </c>
      <c r="N459" s="2">
        <v>170.48098682149401</v>
      </c>
      <c r="O459" t="s">
        <v>43</v>
      </c>
      <c r="P459">
        <v>2</v>
      </c>
      <c r="Q459" t="s">
        <v>95</v>
      </c>
      <c r="R459" t="s">
        <v>133</v>
      </c>
      <c r="S459" s="2">
        <v>21.837289320570601</v>
      </c>
      <c r="T459" s="2">
        <v>76.898019522862995</v>
      </c>
      <c r="U459" t="str">
        <f>_xlfn.IFS(Table13[[#This Row],[Risk_Score]]&gt;80,"High",AND(Table13[[#This Row],[Risk_Score]]&lt;=80,Table13[[#This Row],[Risk_Score]]&gt;45),"Normal",Table13[[#This Row],[Risk_Score]]&lt;=45,"Low")</f>
        <v>Normal</v>
      </c>
      <c r="V459" s="7">
        <f t="shared" si="7"/>
        <v>1846.0128037387899</v>
      </c>
    </row>
    <row r="460" spans="1:22">
      <c r="A460" t="s">
        <v>1627</v>
      </c>
      <c r="B460" t="s">
        <v>395</v>
      </c>
      <c r="C460" t="s">
        <v>48</v>
      </c>
      <c r="D460" s="2">
        <v>17771.918872577</v>
      </c>
      <c r="E460" s="4">
        <v>45995</v>
      </c>
      <c r="F460" t="s">
        <v>1628</v>
      </c>
      <c r="G460" t="s">
        <v>163</v>
      </c>
      <c r="H460" t="s">
        <v>38</v>
      </c>
      <c r="I460" t="s">
        <v>75</v>
      </c>
      <c r="J460" t="s">
        <v>87</v>
      </c>
      <c r="K460" t="s">
        <v>1629</v>
      </c>
      <c r="L460" t="s">
        <v>53</v>
      </c>
      <c r="M460" s="2">
        <v>401.033999465497</v>
      </c>
      <c r="N460" s="2">
        <v>0</v>
      </c>
      <c r="O460" t="s">
        <v>62</v>
      </c>
      <c r="P460">
        <v>4</v>
      </c>
      <c r="Q460" t="s">
        <v>55</v>
      </c>
      <c r="R460" t="s">
        <v>45</v>
      </c>
      <c r="S460" s="2">
        <v>15.4455062023995</v>
      </c>
      <c r="T460" s="2">
        <v>14.152120244996</v>
      </c>
      <c r="U460" t="str">
        <f>_xlfn.IFS(Table13[[#This Row],[Risk_Score]]&gt;80,"High",AND(Table13[[#This Row],[Risk_Score]]&lt;=80,Table13[[#This Row],[Risk_Score]]&gt;45),"Normal",Table13[[#This Row],[Risk_Score]]&lt;=45,"Low")</f>
        <v>Low</v>
      </c>
      <c r="V460" s="7">
        <f t="shared" si="7"/>
        <v>401.033999465497</v>
      </c>
    </row>
    <row r="461" spans="1:22">
      <c r="A461" t="s">
        <v>1630</v>
      </c>
      <c r="B461" t="s">
        <v>1231</v>
      </c>
      <c r="C461" t="s">
        <v>48</v>
      </c>
      <c r="D461" s="2">
        <v>42120.361609433603</v>
      </c>
      <c r="E461" s="4">
        <v>45997</v>
      </c>
      <c r="F461" t="s">
        <v>1631</v>
      </c>
      <c r="G461" t="s">
        <v>50</v>
      </c>
      <c r="H461" t="s">
        <v>1762</v>
      </c>
      <c r="I461" t="s">
        <v>26</v>
      </c>
      <c r="J461" t="s">
        <v>87</v>
      </c>
      <c r="K461" t="s">
        <v>1632</v>
      </c>
      <c r="L461" t="s">
        <v>53</v>
      </c>
      <c r="M461" s="2">
        <v>4634.7157493275099</v>
      </c>
      <c r="N461" s="2">
        <v>388.86395503389701</v>
      </c>
      <c r="O461" t="s">
        <v>62</v>
      </c>
      <c r="P461">
        <v>2</v>
      </c>
      <c r="Q461" t="s">
        <v>95</v>
      </c>
      <c r="R461" t="s">
        <v>32</v>
      </c>
      <c r="S461" s="2">
        <v>15.837791779537101</v>
      </c>
      <c r="T461" s="2">
        <v>83.787327011936299</v>
      </c>
      <c r="U461" t="str">
        <f>_xlfn.IFS(Table13[[#This Row],[Risk_Score]]&gt;80,"High",AND(Table13[[#This Row],[Risk_Score]]&lt;=80,Table13[[#This Row],[Risk_Score]]&gt;45),"Normal",Table13[[#This Row],[Risk_Score]]&lt;=45,"Low")</f>
        <v>High</v>
      </c>
      <c r="V461" s="7">
        <f t="shared" si="7"/>
        <v>4245.8517942936096</v>
      </c>
    </row>
    <row r="462" spans="1:22">
      <c r="A462" t="s">
        <v>1633</v>
      </c>
      <c r="B462" t="s">
        <v>21</v>
      </c>
      <c r="C462" t="s">
        <v>48</v>
      </c>
      <c r="D462" s="2">
        <v>23003.550502049002</v>
      </c>
      <c r="E462" s="4">
        <v>45997</v>
      </c>
      <c r="F462" t="s">
        <v>1634</v>
      </c>
      <c r="G462" t="s">
        <v>92</v>
      </c>
      <c r="H462" t="s">
        <v>1762</v>
      </c>
      <c r="I462" t="s">
        <v>99</v>
      </c>
      <c r="J462" t="s">
        <v>87</v>
      </c>
      <c r="K462" t="s">
        <v>1635</v>
      </c>
      <c r="L462" t="s">
        <v>53</v>
      </c>
      <c r="M462" s="2">
        <v>2610.60273665365</v>
      </c>
      <c r="N462" s="2">
        <v>0</v>
      </c>
      <c r="O462" t="s">
        <v>62</v>
      </c>
      <c r="P462">
        <v>3</v>
      </c>
      <c r="Q462" t="s">
        <v>95</v>
      </c>
      <c r="R462" t="s">
        <v>133</v>
      </c>
      <c r="S462" s="2">
        <v>-11.9164922540185</v>
      </c>
      <c r="T462" s="2">
        <v>40.796260220572599</v>
      </c>
      <c r="U462" t="str">
        <f>_xlfn.IFS(Table13[[#This Row],[Risk_Score]]&gt;80,"High",AND(Table13[[#This Row],[Risk_Score]]&lt;=80,Table13[[#This Row],[Risk_Score]]&gt;45),"Normal",Table13[[#This Row],[Risk_Score]]&lt;=45,"Low")</f>
        <v>Low</v>
      </c>
      <c r="V462" s="7">
        <f t="shared" si="7"/>
        <v>2610.60273665365</v>
      </c>
    </row>
    <row r="463" spans="1:22">
      <c r="A463" t="s">
        <v>1636</v>
      </c>
      <c r="B463" t="s">
        <v>1493</v>
      </c>
      <c r="C463" t="s">
        <v>22</v>
      </c>
      <c r="D463" s="2">
        <v>34913.611927476901</v>
      </c>
      <c r="E463" s="4">
        <v>46001</v>
      </c>
      <c r="F463" t="s">
        <v>460</v>
      </c>
      <c r="G463" t="s">
        <v>141</v>
      </c>
      <c r="H463" t="s">
        <v>1762</v>
      </c>
      <c r="I463" t="s">
        <v>51</v>
      </c>
      <c r="J463" t="s">
        <v>87</v>
      </c>
      <c r="K463" t="s">
        <v>1637</v>
      </c>
      <c r="L463" t="s">
        <v>155</v>
      </c>
      <c r="M463" s="2">
        <v>365.23959913745801</v>
      </c>
      <c r="N463" s="2">
        <v>0</v>
      </c>
      <c r="O463" t="s">
        <v>43</v>
      </c>
      <c r="P463">
        <v>4</v>
      </c>
      <c r="Q463" t="s">
        <v>55</v>
      </c>
      <c r="R463" t="s">
        <v>45</v>
      </c>
      <c r="S463" s="2">
        <v>23.472047844108602</v>
      </c>
      <c r="T463" s="2">
        <v>11.9888031483845</v>
      </c>
      <c r="U463" t="str">
        <f>_xlfn.IFS(Table13[[#This Row],[Risk_Score]]&gt;80,"High",AND(Table13[[#This Row],[Risk_Score]]&lt;=80,Table13[[#This Row],[Risk_Score]]&gt;45),"Normal",Table13[[#This Row],[Risk_Score]]&lt;=45,"Low")</f>
        <v>Low</v>
      </c>
      <c r="V463" s="7">
        <f t="shared" si="7"/>
        <v>365.23959913745801</v>
      </c>
    </row>
    <row r="464" spans="1:22">
      <c r="A464" t="s">
        <v>1638</v>
      </c>
      <c r="B464" t="s">
        <v>261</v>
      </c>
      <c r="C464" t="s">
        <v>35</v>
      </c>
      <c r="D464" s="2">
        <v>21993.359301878099</v>
      </c>
      <c r="E464" s="4">
        <v>46001</v>
      </c>
      <c r="F464" t="s">
        <v>1639</v>
      </c>
      <c r="G464" t="s">
        <v>50</v>
      </c>
      <c r="H464" t="s">
        <v>25</v>
      </c>
      <c r="I464" t="s">
        <v>99</v>
      </c>
      <c r="J464" t="s">
        <v>87</v>
      </c>
      <c r="K464" t="s">
        <v>1640</v>
      </c>
      <c r="L464" t="s">
        <v>29</v>
      </c>
      <c r="M464" s="2">
        <v>1158.42670959312</v>
      </c>
      <c r="N464" s="2">
        <v>0</v>
      </c>
      <c r="O464" t="s">
        <v>62</v>
      </c>
      <c r="P464">
        <v>0</v>
      </c>
      <c r="Q464" t="s">
        <v>55</v>
      </c>
      <c r="R464" t="s">
        <v>32</v>
      </c>
      <c r="S464" s="2">
        <v>27.973543542349201</v>
      </c>
      <c r="T464" s="2">
        <v>18.657849925364101</v>
      </c>
      <c r="U464" t="str">
        <f>_xlfn.IFS(Table13[[#This Row],[Risk_Score]]&gt;80,"High",AND(Table13[[#This Row],[Risk_Score]]&lt;=80,Table13[[#This Row],[Risk_Score]]&gt;45),"Normal",Table13[[#This Row],[Risk_Score]]&lt;=45,"Low")</f>
        <v>Low</v>
      </c>
      <c r="V464" s="7">
        <f t="shared" si="7"/>
        <v>1158.42670959312</v>
      </c>
    </row>
    <row r="465" spans="1:22">
      <c r="A465" t="s">
        <v>1641</v>
      </c>
      <c r="B465" t="s">
        <v>1642</v>
      </c>
      <c r="C465" t="s">
        <v>35</v>
      </c>
      <c r="D465" s="2">
        <v>19926.173961334101</v>
      </c>
      <c r="E465" s="4">
        <v>46001</v>
      </c>
      <c r="F465" t="s">
        <v>1643</v>
      </c>
      <c r="G465" t="s">
        <v>68</v>
      </c>
      <c r="H465" t="s">
        <v>38</v>
      </c>
      <c r="I465" t="s">
        <v>99</v>
      </c>
      <c r="J465" t="s">
        <v>60</v>
      </c>
      <c r="K465" t="s">
        <v>1644</v>
      </c>
      <c r="L465" t="s">
        <v>53</v>
      </c>
      <c r="M465" s="2">
        <v>3640.1710675550498</v>
      </c>
      <c r="N465" s="2">
        <v>417.48689284148099</v>
      </c>
      <c r="O465" t="s">
        <v>43</v>
      </c>
      <c r="P465">
        <v>0</v>
      </c>
      <c r="Q465" t="s">
        <v>44</v>
      </c>
      <c r="R465" t="s">
        <v>133</v>
      </c>
      <c r="S465" s="2">
        <v>-0.25855378627716902</v>
      </c>
      <c r="T465" s="2">
        <v>29.2303046554837</v>
      </c>
      <c r="U465" t="str">
        <f>_xlfn.IFS(Table13[[#This Row],[Risk_Score]]&gt;80,"High",AND(Table13[[#This Row],[Risk_Score]]&lt;=80,Table13[[#This Row],[Risk_Score]]&gt;45),"Normal",Table13[[#This Row],[Risk_Score]]&lt;=45,"Low")</f>
        <v>Low</v>
      </c>
      <c r="V465" s="7">
        <f t="shared" si="7"/>
        <v>3222.68417471357</v>
      </c>
    </row>
    <row r="466" spans="1:22">
      <c r="A466" t="s">
        <v>1645</v>
      </c>
      <c r="B466" t="s">
        <v>383</v>
      </c>
      <c r="C466" t="s">
        <v>35</v>
      </c>
      <c r="D466" s="2">
        <v>41107.352778537999</v>
      </c>
      <c r="E466" s="4">
        <v>46001</v>
      </c>
      <c r="F466" t="s">
        <v>1646</v>
      </c>
      <c r="G466" t="s">
        <v>92</v>
      </c>
      <c r="H466" t="s">
        <v>25</v>
      </c>
      <c r="I466" t="s">
        <v>26</v>
      </c>
      <c r="J466" t="s">
        <v>87</v>
      </c>
      <c r="K466" t="s">
        <v>1647</v>
      </c>
      <c r="L466" t="s">
        <v>29</v>
      </c>
      <c r="M466" s="2">
        <v>1482.73243009263</v>
      </c>
      <c r="N466" s="2">
        <v>0</v>
      </c>
      <c r="O466" t="s">
        <v>54</v>
      </c>
      <c r="P466">
        <v>3</v>
      </c>
      <c r="Q466" t="s">
        <v>55</v>
      </c>
      <c r="R466" t="s">
        <v>45</v>
      </c>
      <c r="S466" s="2">
        <v>0.51164590641435104</v>
      </c>
      <c r="T466" s="2">
        <v>18.985266027096898</v>
      </c>
      <c r="U466" t="str">
        <f>_xlfn.IFS(Table13[[#This Row],[Risk_Score]]&gt;80,"High",AND(Table13[[#This Row],[Risk_Score]]&lt;=80,Table13[[#This Row],[Risk_Score]]&gt;45),"Normal",Table13[[#This Row],[Risk_Score]]&lt;=45,"Low")</f>
        <v>Low</v>
      </c>
      <c r="V466" s="7">
        <f t="shared" si="7"/>
        <v>1482.73243009263</v>
      </c>
    </row>
    <row r="467" spans="1:22">
      <c r="A467" t="s">
        <v>1648</v>
      </c>
      <c r="B467" t="s">
        <v>349</v>
      </c>
      <c r="C467" t="s">
        <v>22</v>
      </c>
      <c r="D467" s="2">
        <v>10166.350070278801</v>
      </c>
      <c r="E467" s="4">
        <v>46002</v>
      </c>
      <c r="F467" t="s">
        <v>1649</v>
      </c>
      <c r="G467" t="s">
        <v>141</v>
      </c>
      <c r="H467" t="s">
        <v>1762</v>
      </c>
      <c r="I467" t="s">
        <v>75</v>
      </c>
      <c r="J467" t="s">
        <v>60</v>
      </c>
      <c r="K467" t="s">
        <v>1650</v>
      </c>
      <c r="L467" t="s">
        <v>120</v>
      </c>
      <c r="M467" s="2">
        <v>1408.80803386004</v>
      </c>
      <c r="N467" s="2">
        <v>0</v>
      </c>
      <c r="O467" t="s">
        <v>62</v>
      </c>
      <c r="P467">
        <v>2</v>
      </c>
      <c r="Q467" t="s">
        <v>31</v>
      </c>
      <c r="R467" t="s">
        <v>45</v>
      </c>
      <c r="S467" s="2">
        <v>19.020029009857801</v>
      </c>
      <c r="T467" s="2">
        <v>57.717162662399602</v>
      </c>
      <c r="U467" t="str">
        <f>_xlfn.IFS(Table13[[#This Row],[Risk_Score]]&gt;80,"High",AND(Table13[[#This Row],[Risk_Score]]&lt;=80,Table13[[#This Row],[Risk_Score]]&gt;45),"Normal",Table13[[#This Row],[Risk_Score]]&lt;=45,"Low")</f>
        <v>Normal</v>
      </c>
      <c r="V467" s="7">
        <f t="shared" si="7"/>
        <v>1408.80803386004</v>
      </c>
    </row>
    <row r="468" spans="1:22">
      <c r="A468" t="s">
        <v>1651</v>
      </c>
      <c r="B468" t="s">
        <v>1652</v>
      </c>
      <c r="C468" t="s">
        <v>35</v>
      </c>
      <c r="D468" s="2">
        <v>10333.370251458</v>
      </c>
      <c r="E468" s="4">
        <v>46004</v>
      </c>
      <c r="F468" t="s">
        <v>1653</v>
      </c>
      <c r="G468" t="s">
        <v>141</v>
      </c>
      <c r="H468" t="s">
        <v>25</v>
      </c>
      <c r="I468" t="s">
        <v>26</v>
      </c>
      <c r="J468" t="s">
        <v>87</v>
      </c>
      <c r="K468" t="s">
        <v>1654</v>
      </c>
      <c r="L468" t="s">
        <v>81</v>
      </c>
      <c r="M468" s="2">
        <v>3776.6008466169201</v>
      </c>
      <c r="N468" s="2">
        <v>289.65670139423003</v>
      </c>
      <c r="O468" t="s">
        <v>43</v>
      </c>
      <c r="P468">
        <v>1</v>
      </c>
      <c r="Q468" t="s">
        <v>31</v>
      </c>
      <c r="R468" t="s">
        <v>32</v>
      </c>
      <c r="S468" s="2">
        <v>19.527499547777101</v>
      </c>
      <c r="T468" s="2">
        <v>37.738762497477602</v>
      </c>
      <c r="U468" t="str">
        <f>_xlfn.IFS(Table13[[#This Row],[Risk_Score]]&gt;80,"High",AND(Table13[[#This Row],[Risk_Score]]&lt;=80,Table13[[#This Row],[Risk_Score]]&gt;45),"Normal",Table13[[#This Row],[Risk_Score]]&lt;=45,"Low")</f>
        <v>Low</v>
      </c>
      <c r="V468" s="7">
        <f t="shared" si="7"/>
        <v>3486.9441452226902</v>
      </c>
    </row>
    <row r="469" spans="1:22">
      <c r="A469" t="s">
        <v>1655</v>
      </c>
      <c r="B469" t="s">
        <v>748</v>
      </c>
      <c r="C469" t="s">
        <v>22</v>
      </c>
      <c r="D469" s="2">
        <v>43067.2941967386</v>
      </c>
      <c r="E469" s="4">
        <v>46005</v>
      </c>
      <c r="F469" t="s">
        <v>1656</v>
      </c>
      <c r="G469" t="s">
        <v>37</v>
      </c>
      <c r="H469" t="s">
        <v>38</v>
      </c>
      <c r="I469" t="s">
        <v>75</v>
      </c>
      <c r="J469" t="s">
        <v>87</v>
      </c>
      <c r="K469" t="s">
        <v>1657</v>
      </c>
      <c r="L469" t="s">
        <v>29</v>
      </c>
      <c r="M469" s="2">
        <v>3115.06137059617</v>
      </c>
      <c r="N469" s="2">
        <v>350.74955073258297</v>
      </c>
      <c r="O469" t="s">
        <v>62</v>
      </c>
      <c r="P469">
        <v>2</v>
      </c>
      <c r="Q469" t="s">
        <v>31</v>
      </c>
      <c r="R469" t="s">
        <v>133</v>
      </c>
      <c r="S469" s="2">
        <v>-11.4918472450388</v>
      </c>
      <c r="T469" s="2">
        <v>25.9215333771986</v>
      </c>
      <c r="U469" t="str">
        <f>_xlfn.IFS(Table13[[#This Row],[Risk_Score]]&gt;80,"High",AND(Table13[[#This Row],[Risk_Score]]&lt;=80,Table13[[#This Row],[Risk_Score]]&gt;45),"Normal",Table13[[#This Row],[Risk_Score]]&lt;=45,"Low")</f>
        <v>Low</v>
      </c>
      <c r="V469" s="7">
        <f t="shared" si="7"/>
        <v>2764.3118198635898</v>
      </c>
    </row>
    <row r="470" spans="1:22">
      <c r="A470" t="s">
        <v>1658</v>
      </c>
      <c r="B470" t="s">
        <v>1659</v>
      </c>
      <c r="C470" t="s">
        <v>48</v>
      </c>
      <c r="D470" s="2">
        <v>48755.851430962597</v>
      </c>
      <c r="E470" s="4">
        <v>46006</v>
      </c>
      <c r="F470" t="s">
        <v>1660</v>
      </c>
      <c r="G470" t="s">
        <v>92</v>
      </c>
      <c r="H470" t="s">
        <v>38</v>
      </c>
      <c r="I470" t="s">
        <v>26</v>
      </c>
      <c r="J470" t="s">
        <v>87</v>
      </c>
      <c r="K470" t="s">
        <v>1661</v>
      </c>
      <c r="L470" t="s">
        <v>29</v>
      </c>
      <c r="M470" s="2">
        <v>2875.2693307474101</v>
      </c>
      <c r="N470" s="2">
        <v>0</v>
      </c>
      <c r="O470" t="s">
        <v>54</v>
      </c>
      <c r="P470">
        <v>3</v>
      </c>
      <c r="Q470" t="s">
        <v>63</v>
      </c>
      <c r="R470" t="s">
        <v>133</v>
      </c>
      <c r="S470" s="2">
        <v>11.752894462109101</v>
      </c>
      <c r="T470" s="2">
        <v>51.644434190282098</v>
      </c>
      <c r="U470" t="str">
        <f>_xlfn.IFS(Table13[[#This Row],[Risk_Score]]&gt;80,"High",AND(Table13[[#This Row],[Risk_Score]]&lt;=80,Table13[[#This Row],[Risk_Score]]&gt;45),"Normal",Table13[[#This Row],[Risk_Score]]&lt;=45,"Low")</f>
        <v>Normal</v>
      </c>
      <c r="V470" s="7">
        <f t="shared" si="7"/>
        <v>2875.2693307474101</v>
      </c>
    </row>
    <row r="471" spans="1:22">
      <c r="A471" t="s">
        <v>1662</v>
      </c>
      <c r="B471" t="s">
        <v>813</v>
      </c>
      <c r="C471" t="s">
        <v>48</v>
      </c>
      <c r="D471" s="2">
        <v>12486.4994935819</v>
      </c>
      <c r="E471" s="4">
        <v>46006</v>
      </c>
      <c r="F471" t="s">
        <v>1663</v>
      </c>
      <c r="G471" t="s">
        <v>50</v>
      </c>
      <c r="H471" t="s">
        <v>1762</v>
      </c>
      <c r="I471" t="s">
        <v>99</v>
      </c>
      <c r="J471" t="s">
        <v>87</v>
      </c>
      <c r="K471" t="s">
        <v>1664</v>
      </c>
      <c r="L471" t="s">
        <v>81</v>
      </c>
      <c r="M471" s="2">
        <v>3305.9386471993698</v>
      </c>
      <c r="N471" s="2">
        <v>0</v>
      </c>
      <c r="O471" t="s">
        <v>43</v>
      </c>
      <c r="P471">
        <v>1</v>
      </c>
      <c r="Q471" t="s">
        <v>31</v>
      </c>
      <c r="R471" t="s">
        <v>133</v>
      </c>
      <c r="S471" s="2">
        <v>-9.0838518334292608</v>
      </c>
      <c r="T471" s="2">
        <v>48.180344253894098</v>
      </c>
      <c r="U471" t="str">
        <f>_xlfn.IFS(Table13[[#This Row],[Risk_Score]]&gt;80,"High",AND(Table13[[#This Row],[Risk_Score]]&lt;=80,Table13[[#This Row],[Risk_Score]]&gt;45),"Normal",Table13[[#This Row],[Risk_Score]]&lt;=45,"Low")</f>
        <v>Normal</v>
      </c>
      <c r="V471" s="7">
        <f t="shared" si="7"/>
        <v>3305.9386471993698</v>
      </c>
    </row>
    <row r="472" spans="1:22">
      <c r="A472" t="s">
        <v>1665</v>
      </c>
      <c r="B472" t="s">
        <v>1666</v>
      </c>
      <c r="C472" t="s">
        <v>35</v>
      </c>
      <c r="D472" s="2">
        <v>24109.155163408999</v>
      </c>
      <c r="E472" s="4">
        <v>46006</v>
      </c>
      <c r="F472" t="s">
        <v>1667</v>
      </c>
      <c r="G472" t="s">
        <v>92</v>
      </c>
      <c r="H472" t="s">
        <v>38</v>
      </c>
      <c r="I472" t="s">
        <v>99</v>
      </c>
      <c r="J472" t="s">
        <v>87</v>
      </c>
      <c r="K472" t="s">
        <v>1668</v>
      </c>
      <c r="L472" t="s">
        <v>120</v>
      </c>
      <c r="M472" s="2">
        <v>1127.6769392418501</v>
      </c>
      <c r="N472" s="2">
        <v>0</v>
      </c>
      <c r="O472" t="s">
        <v>43</v>
      </c>
      <c r="P472">
        <v>3</v>
      </c>
      <c r="Q472" t="s">
        <v>44</v>
      </c>
      <c r="R472" t="s">
        <v>45</v>
      </c>
      <c r="S472" s="2">
        <v>15.374015388972801</v>
      </c>
      <c r="T472" s="2">
        <v>83.578307085460096</v>
      </c>
      <c r="U472" t="str">
        <f>_xlfn.IFS(Table13[[#This Row],[Risk_Score]]&gt;80,"High",AND(Table13[[#This Row],[Risk_Score]]&lt;=80,Table13[[#This Row],[Risk_Score]]&gt;45),"Normal",Table13[[#This Row],[Risk_Score]]&lt;=45,"Low")</f>
        <v>High</v>
      </c>
      <c r="V472" s="7">
        <f t="shared" si="7"/>
        <v>1127.6769392418501</v>
      </c>
    </row>
    <row r="473" spans="1:22">
      <c r="A473" t="s">
        <v>1669</v>
      </c>
      <c r="B473" t="s">
        <v>1659</v>
      </c>
      <c r="C473" t="s">
        <v>85</v>
      </c>
      <c r="D473" s="2">
        <v>41585.437354118803</v>
      </c>
      <c r="E473" s="4">
        <v>46006</v>
      </c>
      <c r="F473" t="s">
        <v>1670</v>
      </c>
      <c r="G473" t="s">
        <v>92</v>
      </c>
      <c r="H473" t="s">
        <v>38</v>
      </c>
      <c r="I473" t="s">
        <v>51</v>
      </c>
      <c r="J473" t="s">
        <v>60</v>
      </c>
      <c r="K473" t="s">
        <v>1671</v>
      </c>
      <c r="L473" t="s">
        <v>42</v>
      </c>
      <c r="M473" s="2">
        <v>3178.49508169106</v>
      </c>
      <c r="N473" s="2">
        <v>0</v>
      </c>
      <c r="O473" t="s">
        <v>62</v>
      </c>
      <c r="P473">
        <v>1</v>
      </c>
      <c r="Q473" t="s">
        <v>95</v>
      </c>
      <c r="R473" t="s">
        <v>45</v>
      </c>
      <c r="S473" s="2">
        <v>-0.83734809092074902</v>
      </c>
      <c r="T473" s="2">
        <v>84.764032950925497</v>
      </c>
      <c r="U473" t="str">
        <f>_xlfn.IFS(Table13[[#This Row],[Risk_Score]]&gt;80,"High",AND(Table13[[#This Row],[Risk_Score]]&lt;=80,Table13[[#This Row],[Risk_Score]]&gt;45),"Normal",Table13[[#This Row],[Risk_Score]]&lt;=45,"Low")</f>
        <v>High</v>
      </c>
      <c r="V473" s="7">
        <f t="shared" si="7"/>
        <v>3178.49508169106</v>
      </c>
    </row>
    <row r="474" spans="1:22">
      <c r="A474" t="s">
        <v>1672</v>
      </c>
      <c r="B474" t="s">
        <v>1673</v>
      </c>
      <c r="C474" t="s">
        <v>22</v>
      </c>
      <c r="D474" s="2">
        <v>47470.409173182503</v>
      </c>
      <c r="E474" s="4">
        <v>46007</v>
      </c>
      <c r="F474" t="s">
        <v>1674</v>
      </c>
      <c r="G474" t="s">
        <v>68</v>
      </c>
      <c r="H474" t="s">
        <v>25</v>
      </c>
      <c r="I474" t="s">
        <v>51</v>
      </c>
      <c r="J474" t="s">
        <v>87</v>
      </c>
      <c r="K474" t="s">
        <v>1675</v>
      </c>
      <c r="L474" t="s">
        <v>120</v>
      </c>
      <c r="M474" s="2">
        <v>4146.9922141672996</v>
      </c>
      <c r="N474" s="2">
        <v>0</v>
      </c>
      <c r="O474" t="s">
        <v>43</v>
      </c>
      <c r="P474">
        <v>2</v>
      </c>
      <c r="Q474" t="s">
        <v>44</v>
      </c>
      <c r="R474" t="s">
        <v>45</v>
      </c>
      <c r="S474" s="2">
        <v>17.3627595362146</v>
      </c>
      <c r="T474" s="2">
        <v>74.514480982782004</v>
      </c>
      <c r="U474" t="str">
        <f>_xlfn.IFS(Table13[[#This Row],[Risk_Score]]&gt;80,"High",AND(Table13[[#This Row],[Risk_Score]]&lt;=80,Table13[[#This Row],[Risk_Score]]&gt;45),"Normal",Table13[[#This Row],[Risk_Score]]&lt;=45,"Low")</f>
        <v>Normal</v>
      </c>
      <c r="V474" s="7">
        <f t="shared" si="7"/>
        <v>4146.9922141672996</v>
      </c>
    </row>
    <row r="475" spans="1:22">
      <c r="A475" t="s">
        <v>1676</v>
      </c>
      <c r="B475" t="s">
        <v>905</v>
      </c>
      <c r="C475" t="s">
        <v>35</v>
      </c>
      <c r="D475" s="2">
        <v>38568.477715507099</v>
      </c>
      <c r="E475" s="4">
        <v>46009</v>
      </c>
      <c r="F475" t="s">
        <v>1677</v>
      </c>
      <c r="G475" t="s">
        <v>163</v>
      </c>
      <c r="H475" t="s">
        <v>1762</v>
      </c>
      <c r="I475" t="s">
        <v>99</v>
      </c>
      <c r="J475" t="s">
        <v>60</v>
      </c>
      <c r="K475" t="s">
        <v>1678</v>
      </c>
      <c r="L475" t="s">
        <v>29</v>
      </c>
      <c r="M475" s="2">
        <v>585.36732213811604</v>
      </c>
      <c r="N475" s="2">
        <v>62.625615548104001</v>
      </c>
      <c r="O475" t="s">
        <v>43</v>
      </c>
      <c r="P475">
        <v>1</v>
      </c>
      <c r="Q475" t="s">
        <v>31</v>
      </c>
      <c r="R475" t="s">
        <v>45</v>
      </c>
      <c r="S475" s="2">
        <v>-0.36904825751398501</v>
      </c>
      <c r="T475" s="2">
        <v>84.303694692770307</v>
      </c>
      <c r="U475" t="str">
        <f>_xlfn.IFS(Table13[[#This Row],[Risk_Score]]&gt;80,"High",AND(Table13[[#This Row],[Risk_Score]]&lt;=80,Table13[[#This Row],[Risk_Score]]&gt;45),"Normal",Table13[[#This Row],[Risk_Score]]&lt;=45,"Low")</f>
        <v>High</v>
      </c>
      <c r="V475" s="7">
        <f t="shared" si="7"/>
        <v>522.74170659001197</v>
      </c>
    </row>
    <row r="476" spans="1:22">
      <c r="A476" t="s">
        <v>1679</v>
      </c>
      <c r="B476" t="s">
        <v>97</v>
      </c>
      <c r="C476" t="s">
        <v>22</v>
      </c>
      <c r="D476" s="2">
        <v>24821.638957557901</v>
      </c>
      <c r="E476" s="4">
        <v>46009</v>
      </c>
      <c r="F476" t="s">
        <v>1680</v>
      </c>
      <c r="G476" t="s">
        <v>37</v>
      </c>
      <c r="H476" t="s">
        <v>38</v>
      </c>
      <c r="I476" t="s">
        <v>75</v>
      </c>
      <c r="J476" t="s">
        <v>87</v>
      </c>
      <c r="K476" t="s">
        <v>1681</v>
      </c>
      <c r="L476" t="s">
        <v>42</v>
      </c>
      <c r="M476" s="2">
        <v>4583.2475375858303</v>
      </c>
      <c r="N476" s="2">
        <v>264.35365994202601</v>
      </c>
      <c r="O476" t="s">
        <v>43</v>
      </c>
      <c r="P476">
        <v>0</v>
      </c>
      <c r="Q476" t="s">
        <v>63</v>
      </c>
      <c r="R476" t="s">
        <v>32</v>
      </c>
      <c r="S476" s="2">
        <v>-14.1592292356864</v>
      </c>
      <c r="T476" s="2">
        <v>48.118815147510198</v>
      </c>
      <c r="U476" t="str">
        <f>_xlfn.IFS(Table13[[#This Row],[Risk_Score]]&gt;80,"High",AND(Table13[[#This Row],[Risk_Score]]&lt;=80,Table13[[#This Row],[Risk_Score]]&gt;45),"Normal",Table13[[#This Row],[Risk_Score]]&lt;=45,"Low")</f>
        <v>Normal</v>
      </c>
      <c r="V476" s="7">
        <f t="shared" si="7"/>
        <v>4318.8938776437999</v>
      </c>
    </row>
    <row r="477" spans="1:22">
      <c r="A477" t="s">
        <v>1682</v>
      </c>
      <c r="B477" t="s">
        <v>1090</v>
      </c>
      <c r="C477" t="s">
        <v>22</v>
      </c>
      <c r="D477" s="2">
        <v>25354.587422331399</v>
      </c>
      <c r="E477" s="4">
        <v>46010</v>
      </c>
      <c r="F477" t="s">
        <v>1683</v>
      </c>
      <c r="G477" t="s">
        <v>163</v>
      </c>
      <c r="H477" t="s">
        <v>38</v>
      </c>
      <c r="I477" t="s">
        <v>51</v>
      </c>
      <c r="J477" t="s">
        <v>87</v>
      </c>
      <c r="K477" t="s">
        <v>1684</v>
      </c>
      <c r="L477" t="s">
        <v>120</v>
      </c>
      <c r="M477" s="2">
        <v>3732.9414727210001</v>
      </c>
      <c r="N477" s="2">
        <v>0</v>
      </c>
      <c r="O477" t="s">
        <v>43</v>
      </c>
      <c r="P477">
        <v>0</v>
      </c>
      <c r="Q477" t="s">
        <v>44</v>
      </c>
      <c r="R477" t="s">
        <v>32</v>
      </c>
      <c r="S477" s="2">
        <v>7.70536973506037</v>
      </c>
      <c r="T477" s="2">
        <v>51.939768528346796</v>
      </c>
      <c r="U477" t="str">
        <f>_xlfn.IFS(Table13[[#This Row],[Risk_Score]]&gt;80,"High",AND(Table13[[#This Row],[Risk_Score]]&lt;=80,Table13[[#This Row],[Risk_Score]]&gt;45),"Normal",Table13[[#This Row],[Risk_Score]]&lt;=45,"Low")</f>
        <v>Normal</v>
      </c>
      <c r="V477" s="7">
        <f t="shared" si="7"/>
        <v>3732.9414727210001</v>
      </c>
    </row>
    <row r="478" spans="1:22">
      <c r="A478" t="s">
        <v>1685</v>
      </c>
      <c r="B478" t="s">
        <v>674</v>
      </c>
      <c r="C478" t="s">
        <v>22</v>
      </c>
      <c r="D478" s="2">
        <v>45784.132496866499</v>
      </c>
      <c r="E478" s="4">
        <v>46010</v>
      </c>
      <c r="F478" t="s">
        <v>1686</v>
      </c>
      <c r="G478" t="s">
        <v>37</v>
      </c>
      <c r="H478" t="s">
        <v>25</v>
      </c>
      <c r="I478" t="s">
        <v>51</v>
      </c>
      <c r="J478" t="s">
        <v>60</v>
      </c>
      <c r="K478" t="s">
        <v>1687</v>
      </c>
      <c r="L478" t="s">
        <v>42</v>
      </c>
      <c r="M478" s="2">
        <v>1812.66077157379</v>
      </c>
      <c r="N478" s="2">
        <v>19.898563667826298</v>
      </c>
      <c r="O478" t="s">
        <v>43</v>
      </c>
      <c r="P478">
        <v>3</v>
      </c>
      <c r="Q478" t="s">
        <v>31</v>
      </c>
      <c r="R478" t="s">
        <v>45</v>
      </c>
      <c r="S478" s="2">
        <v>9.4673268021711596</v>
      </c>
      <c r="T478" s="2">
        <v>33.646116257721197</v>
      </c>
      <c r="U478" t="str">
        <f>_xlfn.IFS(Table13[[#This Row],[Risk_Score]]&gt;80,"High",AND(Table13[[#This Row],[Risk_Score]]&lt;=80,Table13[[#This Row],[Risk_Score]]&gt;45),"Normal",Table13[[#This Row],[Risk_Score]]&lt;=45,"Low")</f>
        <v>Low</v>
      </c>
      <c r="V478" s="7">
        <f t="shared" si="7"/>
        <v>1792.7622079059599</v>
      </c>
    </row>
    <row r="479" spans="1:22">
      <c r="A479" t="s">
        <v>1688</v>
      </c>
      <c r="B479" t="s">
        <v>223</v>
      </c>
      <c r="C479" t="s">
        <v>35</v>
      </c>
      <c r="D479" s="2">
        <v>28515.2315363987</v>
      </c>
      <c r="E479" s="4">
        <v>46010</v>
      </c>
      <c r="F479" t="s">
        <v>1689</v>
      </c>
      <c r="G479" t="s">
        <v>37</v>
      </c>
      <c r="H479" t="s">
        <v>1762</v>
      </c>
      <c r="I479" t="s">
        <v>99</v>
      </c>
      <c r="J479" t="s">
        <v>87</v>
      </c>
      <c r="K479" t="s">
        <v>1690</v>
      </c>
      <c r="L479" t="s">
        <v>53</v>
      </c>
      <c r="M479" s="2">
        <v>2521.0347868645899</v>
      </c>
      <c r="N479" s="2">
        <v>487.800959578326</v>
      </c>
      <c r="O479" t="s">
        <v>62</v>
      </c>
      <c r="P479">
        <v>4</v>
      </c>
      <c r="Q479" t="s">
        <v>95</v>
      </c>
      <c r="R479" t="s">
        <v>133</v>
      </c>
      <c r="S479" s="2">
        <v>16.519915793155</v>
      </c>
      <c r="T479" s="2">
        <v>56.325584382568302</v>
      </c>
      <c r="U479" t="str">
        <f>_xlfn.IFS(Table13[[#This Row],[Risk_Score]]&gt;80,"High",AND(Table13[[#This Row],[Risk_Score]]&lt;=80,Table13[[#This Row],[Risk_Score]]&gt;45),"Normal",Table13[[#This Row],[Risk_Score]]&lt;=45,"Low")</f>
        <v>Normal</v>
      </c>
      <c r="V479" s="7">
        <f t="shared" si="7"/>
        <v>2033.2338272862601</v>
      </c>
    </row>
    <row r="480" spans="1:22">
      <c r="A480" t="s">
        <v>1691</v>
      </c>
      <c r="B480" t="s">
        <v>582</v>
      </c>
      <c r="C480" t="s">
        <v>35</v>
      </c>
      <c r="D480" s="2">
        <v>31242.6670546737</v>
      </c>
      <c r="E480" s="4">
        <v>46011</v>
      </c>
      <c r="F480" t="s">
        <v>1692</v>
      </c>
      <c r="G480" t="s">
        <v>24</v>
      </c>
      <c r="H480" t="s">
        <v>38</v>
      </c>
      <c r="I480" t="s">
        <v>75</v>
      </c>
      <c r="J480" t="s">
        <v>87</v>
      </c>
      <c r="K480" t="s">
        <v>1693</v>
      </c>
      <c r="L480" t="s">
        <v>120</v>
      </c>
      <c r="M480" s="2">
        <v>2169.3681064990901</v>
      </c>
      <c r="N480" s="2">
        <v>383.88230885716899</v>
      </c>
      <c r="O480" t="s">
        <v>62</v>
      </c>
      <c r="P480">
        <v>1</v>
      </c>
      <c r="Q480" t="s">
        <v>63</v>
      </c>
      <c r="R480" t="s">
        <v>133</v>
      </c>
      <c r="S480" s="2">
        <v>9.1912313494687492</v>
      </c>
      <c r="T480" s="2">
        <v>85.582290712390403</v>
      </c>
      <c r="U480" t="str">
        <f>_xlfn.IFS(Table13[[#This Row],[Risk_Score]]&gt;80,"High",AND(Table13[[#This Row],[Risk_Score]]&lt;=80,Table13[[#This Row],[Risk_Score]]&gt;45),"Normal",Table13[[#This Row],[Risk_Score]]&lt;=45,"Low")</f>
        <v>High</v>
      </c>
      <c r="V480" s="7">
        <f t="shared" si="7"/>
        <v>1785.48579764192</v>
      </c>
    </row>
    <row r="481" spans="1:22">
      <c r="A481" t="s">
        <v>1694</v>
      </c>
      <c r="B481" t="s">
        <v>1695</v>
      </c>
      <c r="C481" t="s">
        <v>48</v>
      </c>
      <c r="D481" s="2">
        <v>20698.3981752769</v>
      </c>
      <c r="E481" s="4">
        <v>46011</v>
      </c>
      <c r="F481" t="s">
        <v>1696</v>
      </c>
      <c r="G481" t="s">
        <v>181</v>
      </c>
      <c r="H481" t="s">
        <v>25</v>
      </c>
      <c r="I481" t="s">
        <v>99</v>
      </c>
      <c r="J481" t="s">
        <v>87</v>
      </c>
      <c r="K481" t="s">
        <v>1697</v>
      </c>
      <c r="L481" t="s">
        <v>155</v>
      </c>
      <c r="M481" s="2">
        <v>508.938313510836</v>
      </c>
      <c r="N481" s="2">
        <v>0</v>
      </c>
      <c r="O481" t="s">
        <v>43</v>
      </c>
      <c r="P481">
        <v>4</v>
      </c>
      <c r="Q481" t="s">
        <v>31</v>
      </c>
      <c r="R481" t="s">
        <v>32</v>
      </c>
      <c r="S481" s="2">
        <v>22.493834075875601</v>
      </c>
      <c r="T481" s="2">
        <v>45.693884989824902</v>
      </c>
      <c r="U481" t="str">
        <f>_xlfn.IFS(Table13[[#This Row],[Risk_Score]]&gt;80,"High",AND(Table13[[#This Row],[Risk_Score]]&lt;=80,Table13[[#This Row],[Risk_Score]]&gt;45),"Normal",Table13[[#This Row],[Risk_Score]]&lt;=45,"Low")</f>
        <v>Normal</v>
      </c>
      <c r="V481" s="7">
        <f t="shared" si="7"/>
        <v>508.938313510836</v>
      </c>
    </row>
    <row r="482" spans="1:22">
      <c r="A482" t="s">
        <v>1698</v>
      </c>
      <c r="B482" t="s">
        <v>1097</v>
      </c>
      <c r="C482" t="s">
        <v>35</v>
      </c>
      <c r="D482" s="2">
        <v>23883.312257908001</v>
      </c>
      <c r="E482" s="4">
        <v>46011</v>
      </c>
      <c r="F482" t="s">
        <v>1699</v>
      </c>
      <c r="G482" t="s">
        <v>141</v>
      </c>
      <c r="H482" t="s">
        <v>25</v>
      </c>
      <c r="I482" t="s">
        <v>75</v>
      </c>
      <c r="J482" t="s">
        <v>87</v>
      </c>
      <c r="K482" t="s">
        <v>1700</v>
      </c>
      <c r="L482" t="s">
        <v>81</v>
      </c>
      <c r="M482" s="2">
        <v>1442.89526175221</v>
      </c>
      <c r="N482" s="2">
        <v>166.88829853489901</v>
      </c>
      <c r="O482" t="s">
        <v>54</v>
      </c>
      <c r="P482">
        <v>2</v>
      </c>
      <c r="Q482" t="s">
        <v>63</v>
      </c>
      <c r="R482" t="s">
        <v>45</v>
      </c>
      <c r="S482" s="2">
        <v>5.99314728316648</v>
      </c>
      <c r="T482" s="2">
        <v>80.585770533406205</v>
      </c>
      <c r="U482" t="str">
        <f>_xlfn.IFS(Table13[[#This Row],[Risk_Score]]&gt;80,"High",AND(Table13[[#This Row],[Risk_Score]]&lt;=80,Table13[[#This Row],[Risk_Score]]&gt;45),"Normal",Table13[[#This Row],[Risk_Score]]&lt;=45,"Low")</f>
        <v>High</v>
      </c>
      <c r="V482" s="7">
        <f t="shared" si="7"/>
        <v>1276.0069632173099</v>
      </c>
    </row>
    <row r="483" spans="1:22">
      <c r="A483" t="s">
        <v>1701</v>
      </c>
      <c r="B483" t="s">
        <v>277</v>
      </c>
      <c r="C483" t="s">
        <v>85</v>
      </c>
      <c r="D483" s="2">
        <v>47912.722570896098</v>
      </c>
      <c r="E483" s="4">
        <v>46012</v>
      </c>
      <c r="F483" t="s">
        <v>1702</v>
      </c>
      <c r="G483" t="s">
        <v>24</v>
      </c>
      <c r="H483" t="s">
        <v>38</v>
      </c>
      <c r="I483" t="s">
        <v>99</v>
      </c>
      <c r="J483" t="s">
        <v>60</v>
      </c>
      <c r="K483" t="s">
        <v>1703</v>
      </c>
      <c r="L483" t="s">
        <v>29</v>
      </c>
      <c r="M483" s="2">
        <v>1675.5082231022</v>
      </c>
      <c r="N483" s="2">
        <v>122.327527302357</v>
      </c>
      <c r="O483" t="s">
        <v>43</v>
      </c>
      <c r="P483">
        <v>1</v>
      </c>
      <c r="Q483" t="s">
        <v>55</v>
      </c>
      <c r="R483" t="s">
        <v>32</v>
      </c>
      <c r="S483" s="2">
        <v>-16.017322303987701</v>
      </c>
      <c r="T483" s="2">
        <v>64.277366161829207</v>
      </c>
      <c r="U483" t="str">
        <f>_xlfn.IFS(Table13[[#This Row],[Risk_Score]]&gt;80,"High",AND(Table13[[#This Row],[Risk_Score]]&lt;=80,Table13[[#This Row],[Risk_Score]]&gt;45),"Normal",Table13[[#This Row],[Risk_Score]]&lt;=45,"Low")</f>
        <v>Normal</v>
      </c>
      <c r="V483" s="7">
        <f t="shared" si="7"/>
        <v>1553.1806957998399</v>
      </c>
    </row>
    <row r="484" spans="1:22">
      <c r="A484" t="s">
        <v>1704</v>
      </c>
      <c r="B484" t="s">
        <v>387</v>
      </c>
      <c r="C484" t="s">
        <v>48</v>
      </c>
      <c r="D484" s="2">
        <v>39097.572639395599</v>
      </c>
      <c r="E484" s="4">
        <v>46013</v>
      </c>
      <c r="F484" t="s">
        <v>1705</v>
      </c>
      <c r="G484" t="s">
        <v>59</v>
      </c>
      <c r="H484" t="s">
        <v>25</v>
      </c>
      <c r="I484" t="s">
        <v>26</v>
      </c>
      <c r="J484" t="s">
        <v>87</v>
      </c>
      <c r="K484" t="s">
        <v>1706</v>
      </c>
      <c r="L484" t="s">
        <v>120</v>
      </c>
      <c r="M484" s="2">
        <v>4321.4658478793999</v>
      </c>
      <c r="N484" s="2">
        <v>0</v>
      </c>
      <c r="O484" t="s">
        <v>54</v>
      </c>
      <c r="P484">
        <v>4</v>
      </c>
      <c r="Q484" t="s">
        <v>1763</v>
      </c>
      <c r="R484" t="s">
        <v>32</v>
      </c>
      <c r="S484" s="2">
        <v>-23.726228114739499</v>
      </c>
      <c r="T484" s="2">
        <v>28.829580455425599</v>
      </c>
      <c r="U484" t="str">
        <f>_xlfn.IFS(Table13[[#This Row],[Risk_Score]]&gt;80,"High",AND(Table13[[#This Row],[Risk_Score]]&lt;=80,Table13[[#This Row],[Risk_Score]]&gt;45),"Normal",Table13[[#This Row],[Risk_Score]]&lt;=45,"Low")</f>
        <v>Low</v>
      </c>
      <c r="V484" s="7">
        <f t="shared" si="7"/>
        <v>4321.4658478793999</v>
      </c>
    </row>
    <row r="485" spans="1:22">
      <c r="A485" t="s">
        <v>1707</v>
      </c>
      <c r="B485" t="s">
        <v>1708</v>
      </c>
      <c r="C485" t="s">
        <v>85</v>
      </c>
      <c r="D485" s="2">
        <v>24923.498209596499</v>
      </c>
      <c r="E485" s="4">
        <v>46013</v>
      </c>
      <c r="F485" t="s">
        <v>1709</v>
      </c>
      <c r="G485" t="s">
        <v>181</v>
      </c>
      <c r="H485" t="s">
        <v>1762</v>
      </c>
      <c r="I485" t="s">
        <v>75</v>
      </c>
      <c r="J485" t="s">
        <v>60</v>
      </c>
      <c r="K485" t="s">
        <v>1710</v>
      </c>
      <c r="L485" t="s">
        <v>29</v>
      </c>
      <c r="M485" s="2">
        <v>734.92259439654094</v>
      </c>
      <c r="N485" s="2">
        <v>177.641987118461</v>
      </c>
      <c r="O485" t="s">
        <v>43</v>
      </c>
      <c r="P485">
        <v>3</v>
      </c>
      <c r="Q485" t="s">
        <v>31</v>
      </c>
      <c r="R485" t="s">
        <v>45</v>
      </c>
      <c r="S485" s="2">
        <v>27.160371989944501</v>
      </c>
      <c r="T485" s="2">
        <v>70.530664253592704</v>
      </c>
      <c r="U485" t="str">
        <f>_xlfn.IFS(Table13[[#This Row],[Risk_Score]]&gt;80,"High",AND(Table13[[#This Row],[Risk_Score]]&lt;=80,Table13[[#This Row],[Risk_Score]]&gt;45),"Normal",Table13[[#This Row],[Risk_Score]]&lt;=45,"Low")</f>
        <v>Normal</v>
      </c>
      <c r="V485" s="7">
        <f t="shared" si="7"/>
        <v>557.28060727807997</v>
      </c>
    </row>
    <row r="486" spans="1:22">
      <c r="A486" t="s">
        <v>1711</v>
      </c>
      <c r="B486" t="s">
        <v>135</v>
      </c>
      <c r="C486" t="s">
        <v>35</v>
      </c>
      <c r="D486" s="2">
        <v>7027.3561947568196</v>
      </c>
      <c r="E486" s="4">
        <v>46013</v>
      </c>
      <c r="F486" t="s">
        <v>1712</v>
      </c>
      <c r="G486" t="s">
        <v>68</v>
      </c>
      <c r="H486" t="s">
        <v>1762</v>
      </c>
      <c r="I486" t="s">
        <v>26</v>
      </c>
      <c r="J486" t="s">
        <v>87</v>
      </c>
      <c r="K486" t="s">
        <v>1713</v>
      </c>
      <c r="L486" t="s">
        <v>120</v>
      </c>
      <c r="M486" s="2">
        <v>2288.4022715625201</v>
      </c>
      <c r="N486" s="2">
        <v>0</v>
      </c>
      <c r="O486" t="s">
        <v>62</v>
      </c>
      <c r="P486">
        <v>1</v>
      </c>
      <c r="Q486" t="s">
        <v>31</v>
      </c>
      <c r="R486" t="s">
        <v>32</v>
      </c>
      <c r="S486" s="2">
        <v>14.691921507976801</v>
      </c>
      <c r="T486" s="2">
        <v>98.257892299220501</v>
      </c>
      <c r="U486" t="str">
        <f>_xlfn.IFS(Table13[[#This Row],[Risk_Score]]&gt;80,"High",AND(Table13[[#This Row],[Risk_Score]]&lt;=80,Table13[[#This Row],[Risk_Score]]&gt;45),"Normal",Table13[[#This Row],[Risk_Score]]&lt;=45,"Low")</f>
        <v>High</v>
      </c>
      <c r="V486" s="7">
        <f t="shared" si="7"/>
        <v>2288.4022715625201</v>
      </c>
    </row>
    <row r="487" spans="1:22">
      <c r="A487" t="s">
        <v>1714</v>
      </c>
      <c r="B487" t="s">
        <v>1715</v>
      </c>
      <c r="C487" t="s">
        <v>48</v>
      </c>
      <c r="D487" s="2">
        <v>3958.32116789048</v>
      </c>
      <c r="E487" s="4">
        <v>46014</v>
      </c>
      <c r="F487" t="s">
        <v>1716</v>
      </c>
      <c r="G487" t="s">
        <v>68</v>
      </c>
      <c r="H487" t="s">
        <v>1762</v>
      </c>
      <c r="I487" t="s">
        <v>51</v>
      </c>
      <c r="J487" t="s">
        <v>87</v>
      </c>
      <c r="K487" t="s">
        <v>1717</v>
      </c>
      <c r="L487" t="s">
        <v>155</v>
      </c>
      <c r="M487" s="2">
        <v>623.32425707213201</v>
      </c>
      <c r="N487" s="2">
        <v>0</v>
      </c>
      <c r="O487" t="s">
        <v>54</v>
      </c>
      <c r="P487">
        <v>3</v>
      </c>
      <c r="Q487" t="s">
        <v>44</v>
      </c>
      <c r="R487" t="s">
        <v>45</v>
      </c>
      <c r="S487" s="2">
        <v>-13.8219360468477</v>
      </c>
      <c r="T487" s="2">
        <v>28.988067953386</v>
      </c>
      <c r="U487" t="str">
        <f>_xlfn.IFS(Table13[[#This Row],[Risk_Score]]&gt;80,"High",AND(Table13[[#This Row],[Risk_Score]]&lt;=80,Table13[[#This Row],[Risk_Score]]&gt;45),"Normal",Table13[[#This Row],[Risk_Score]]&lt;=45,"Low")</f>
        <v>Low</v>
      </c>
      <c r="V487" s="7">
        <f t="shared" si="7"/>
        <v>623.32425707213201</v>
      </c>
    </row>
    <row r="488" spans="1:22">
      <c r="A488" t="s">
        <v>1718</v>
      </c>
      <c r="B488" t="s">
        <v>293</v>
      </c>
      <c r="C488" t="s">
        <v>35</v>
      </c>
      <c r="D488" s="2">
        <v>17819.7047336373</v>
      </c>
      <c r="E488" s="4">
        <v>46014</v>
      </c>
      <c r="F488" t="s">
        <v>1719</v>
      </c>
      <c r="G488" t="s">
        <v>59</v>
      </c>
      <c r="H488" t="s">
        <v>25</v>
      </c>
      <c r="I488" t="s">
        <v>75</v>
      </c>
      <c r="J488" t="s">
        <v>87</v>
      </c>
      <c r="K488" t="s">
        <v>1720</v>
      </c>
      <c r="L488" t="s">
        <v>81</v>
      </c>
      <c r="M488" s="2">
        <v>1146.5104969598699</v>
      </c>
      <c r="N488" s="2">
        <v>0</v>
      </c>
      <c r="O488" t="s">
        <v>62</v>
      </c>
      <c r="P488">
        <v>2</v>
      </c>
      <c r="Q488" t="s">
        <v>55</v>
      </c>
      <c r="R488" t="s">
        <v>32</v>
      </c>
      <c r="S488" s="2">
        <v>24.905000001484499</v>
      </c>
      <c r="T488" s="2">
        <v>69.482757932812603</v>
      </c>
      <c r="U488" t="str">
        <f>_xlfn.IFS(Table13[[#This Row],[Risk_Score]]&gt;80,"High",AND(Table13[[#This Row],[Risk_Score]]&lt;=80,Table13[[#This Row],[Risk_Score]]&gt;45),"Normal",Table13[[#This Row],[Risk_Score]]&lt;=45,"Low")</f>
        <v>Normal</v>
      </c>
      <c r="V488" s="7">
        <f t="shared" si="7"/>
        <v>1146.5104969598699</v>
      </c>
    </row>
    <row r="489" spans="1:22">
      <c r="A489" t="s">
        <v>1721</v>
      </c>
      <c r="B489" t="s">
        <v>368</v>
      </c>
      <c r="C489" t="s">
        <v>22</v>
      </c>
      <c r="D489" s="2">
        <v>23021.405716514</v>
      </c>
      <c r="E489" s="4">
        <v>46016</v>
      </c>
      <c r="F489" t="s">
        <v>1722</v>
      </c>
      <c r="G489" t="s">
        <v>141</v>
      </c>
      <c r="H489" t="s">
        <v>38</v>
      </c>
      <c r="I489" t="s">
        <v>26</v>
      </c>
      <c r="J489" t="s">
        <v>60</v>
      </c>
      <c r="K489" t="s">
        <v>1723</v>
      </c>
      <c r="L489" t="s">
        <v>29</v>
      </c>
      <c r="M489" s="2">
        <v>2752.32148987955</v>
      </c>
      <c r="N489" s="2">
        <v>0</v>
      </c>
      <c r="O489" t="s">
        <v>62</v>
      </c>
      <c r="P489">
        <v>0</v>
      </c>
      <c r="Q489" t="s">
        <v>63</v>
      </c>
      <c r="R489" t="s">
        <v>45</v>
      </c>
      <c r="S489" s="2">
        <v>1.6288376579508299</v>
      </c>
      <c r="T489" s="2">
        <v>88.636864709554104</v>
      </c>
      <c r="U489" t="str">
        <f>_xlfn.IFS(Table13[[#This Row],[Risk_Score]]&gt;80,"High",AND(Table13[[#This Row],[Risk_Score]]&lt;=80,Table13[[#This Row],[Risk_Score]]&gt;45),"Normal",Table13[[#This Row],[Risk_Score]]&lt;=45,"Low")</f>
        <v>High</v>
      </c>
      <c r="V489" s="7">
        <f t="shared" si="7"/>
        <v>2752.32148987955</v>
      </c>
    </row>
    <row r="490" spans="1:22">
      <c r="A490" t="s">
        <v>1724</v>
      </c>
      <c r="B490" t="s">
        <v>451</v>
      </c>
      <c r="C490" t="s">
        <v>85</v>
      </c>
      <c r="D490" s="2">
        <v>20378.976182848699</v>
      </c>
      <c r="E490" s="4">
        <v>46016</v>
      </c>
      <c r="F490" t="s">
        <v>1725</v>
      </c>
      <c r="G490" t="s">
        <v>181</v>
      </c>
      <c r="H490" t="s">
        <v>38</v>
      </c>
      <c r="I490" t="s">
        <v>99</v>
      </c>
      <c r="J490" t="s">
        <v>87</v>
      </c>
      <c r="K490" t="s">
        <v>1726</v>
      </c>
      <c r="L490" t="s">
        <v>53</v>
      </c>
      <c r="M490" s="2">
        <v>2790.1147366786699</v>
      </c>
      <c r="N490" s="2">
        <v>0</v>
      </c>
      <c r="O490" t="s">
        <v>43</v>
      </c>
      <c r="P490">
        <v>3</v>
      </c>
      <c r="Q490" t="s">
        <v>55</v>
      </c>
      <c r="R490" t="s">
        <v>32</v>
      </c>
      <c r="S490" s="2">
        <v>-2.4810061151354401</v>
      </c>
      <c r="T490" s="2">
        <v>7.8980599366231701</v>
      </c>
      <c r="U490" t="str">
        <f>_xlfn.IFS(Table13[[#This Row],[Risk_Score]]&gt;80,"High",AND(Table13[[#This Row],[Risk_Score]]&lt;=80,Table13[[#This Row],[Risk_Score]]&gt;45),"Normal",Table13[[#This Row],[Risk_Score]]&lt;=45,"Low")</f>
        <v>Low</v>
      </c>
      <c r="V490" s="7">
        <f t="shared" si="7"/>
        <v>2790.1147366786699</v>
      </c>
    </row>
    <row r="491" spans="1:22">
      <c r="A491" t="s">
        <v>1727</v>
      </c>
      <c r="B491" t="s">
        <v>399</v>
      </c>
      <c r="C491" t="s">
        <v>48</v>
      </c>
      <c r="D491" s="2">
        <v>41272.855837990697</v>
      </c>
      <c r="E491" s="4">
        <v>46016</v>
      </c>
      <c r="F491" t="s">
        <v>1728</v>
      </c>
      <c r="G491" t="s">
        <v>24</v>
      </c>
      <c r="H491" t="s">
        <v>1762</v>
      </c>
      <c r="I491" t="s">
        <v>51</v>
      </c>
      <c r="J491" t="s">
        <v>87</v>
      </c>
      <c r="K491" t="s">
        <v>1729</v>
      </c>
      <c r="L491" t="s">
        <v>120</v>
      </c>
      <c r="M491" s="2">
        <v>3736.8841238730702</v>
      </c>
      <c r="N491" s="2">
        <v>455.90928476972402</v>
      </c>
      <c r="O491" t="s">
        <v>62</v>
      </c>
      <c r="P491">
        <v>3</v>
      </c>
      <c r="Q491" t="s">
        <v>63</v>
      </c>
      <c r="R491" t="s">
        <v>32</v>
      </c>
      <c r="S491" s="2">
        <v>3.4457567558591902</v>
      </c>
      <c r="T491" s="2">
        <v>12.8515668444116</v>
      </c>
      <c r="U491" t="str">
        <f>_xlfn.IFS(Table13[[#This Row],[Risk_Score]]&gt;80,"High",AND(Table13[[#This Row],[Risk_Score]]&lt;=80,Table13[[#This Row],[Risk_Score]]&gt;45),"Normal",Table13[[#This Row],[Risk_Score]]&lt;=45,"Low")</f>
        <v>Low</v>
      </c>
      <c r="V491" s="7">
        <f t="shared" si="7"/>
        <v>3280.97483910335</v>
      </c>
    </row>
    <row r="492" spans="1:22">
      <c r="A492" t="s">
        <v>1730</v>
      </c>
      <c r="B492" t="s">
        <v>323</v>
      </c>
      <c r="C492" t="s">
        <v>22</v>
      </c>
      <c r="D492" s="2">
        <v>-999</v>
      </c>
      <c r="E492" s="4">
        <v>46017</v>
      </c>
      <c r="F492" t="s">
        <v>1731</v>
      </c>
      <c r="G492" t="s">
        <v>68</v>
      </c>
      <c r="H492" t="s">
        <v>25</v>
      </c>
      <c r="I492" t="s">
        <v>99</v>
      </c>
      <c r="J492" t="s">
        <v>60</v>
      </c>
      <c r="K492" t="s">
        <v>1732</v>
      </c>
      <c r="L492" t="s">
        <v>42</v>
      </c>
      <c r="M492" s="2">
        <v>2711.0438971782</v>
      </c>
      <c r="N492" s="2">
        <v>387.93862723484602</v>
      </c>
      <c r="O492" t="s">
        <v>43</v>
      </c>
      <c r="P492">
        <v>4</v>
      </c>
      <c r="Q492" t="s">
        <v>44</v>
      </c>
      <c r="R492" t="s">
        <v>133</v>
      </c>
      <c r="S492" s="2">
        <v>5.2610850237006401</v>
      </c>
      <c r="T492" s="2">
        <v>20.341300219831499</v>
      </c>
      <c r="U492" t="str">
        <f>_xlfn.IFS(Table13[[#This Row],[Risk_Score]]&gt;80,"High",AND(Table13[[#This Row],[Risk_Score]]&lt;=80,Table13[[#This Row],[Risk_Score]]&gt;45),"Normal",Table13[[#This Row],[Risk_Score]]&lt;=45,"Low")</f>
        <v>Low</v>
      </c>
      <c r="V492" s="7">
        <f t="shared" si="7"/>
        <v>2323.1052699433499</v>
      </c>
    </row>
    <row r="493" spans="1:22">
      <c r="A493" t="s">
        <v>1733</v>
      </c>
      <c r="B493" t="s">
        <v>215</v>
      </c>
      <c r="C493" t="s">
        <v>22</v>
      </c>
      <c r="D493" s="2">
        <v>43834.559386177199</v>
      </c>
      <c r="E493" s="4">
        <v>46017</v>
      </c>
      <c r="F493" t="s">
        <v>1734</v>
      </c>
      <c r="G493" t="s">
        <v>181</v>
      </c>
      <c r="H493" t="s">
        <v>25</v>
      </c>
      <c r="I493" t="s">
        <v>99</v>
      </c>
      <c r="J493" t="s">
        <v>87</v>
      </c>
      <c r="K493" t="s">
        <v>1735</v>
      </c>
      <c r="L493" t="s">
        <v>42</v>
      </c>
      <c r="M493" s="2">
        <v>4929.5528354494199</v>
      </c>
      <c r="N493" s="2">
        <v>325.09358322282702</v>
      </c>
      <c r="O493" t="s">
        <v>43</v>
      </c>
      <c r="P493">
        <v>4</v>
      </c>
      <c r="Q493" t="s">
        <v>31</v>
      </c>
      <c r="R493" t="s">
        <v>45</v>
      </c>
      <c r="S493" s="2">
        <v>-10.7707861406672</v>
      </c>
      <c r="T493" s="2">
        <v>24.406401096725101</v>
      </c>
      <c r="U493" t="str">
        <f>_xlfn.IFS(Table13[[#This Row],[Risk_Score]]&gt;80,"High",AND(Table13[[#This Row],[Risk_Score]]&lt;=80,Table13[[#This Row],[Risk_Score]]&gt;45),"Normal",Table13[[#This Row],[Risk_Score]]&lt;=45,"Low")</f>
        <v>Low</v>
      </c>
      <c r="V493" s="7">
        <f t="shared" si="7"/>
        <v>4604.4592522265903</v>
      </c>
    </row>
    <row r="494" spans="1:22">
      <c r="A494" t="s">
        <v>1736</v>
      </c>
      <c r="B494" t="s">
        <v>809</v>
      </c>
      <c r="C494" t="s">
        <v>85</v>
      </c>
      <c r="D494" s="2">
        <v>17758.181690406302</v>
      </c>
      <c r="E494" s="4">
        <v>46018</v>
      </c>
      <c r="F494" t="s">
        <v>1737</v>
      </c>
      <c r="G494" t="s">
        <v>172</v>
      </c>
      <c r="H494" t="s">
        <v>1762</v>
      </c>
      <c r="I494" t="s">
        <v>51</v>
      </c>
      <c r="J494" t="s">
        <v>87</v>
      </c>
      <c r="K494" t="s">
        <v>1738</v>
      </c>
      <c r="L494" t="s">
        <v>53</v>
      </c>
      <c r="M494" s="2">
        <v>3089.9592221282201</v>
      </c>
      <c r="N494" s="2">
        <v>0</v>
      </c>
      <c r="O494" t="s">
        <v>62</v>
      </c>
      <c r="P494">
        <v>4</v>
      </c>
      <c r="Q494" t="s">
        <v>31</v>
      </c>
      <c r="R494" t="s">
        <v>32</v>
      </c>
      <c r="S494" s="2">
        <v>16.178529833019301</v>
      </c>
      <c r="T494" s="2">
        <v>52.212649343217699</v>
      </c>
      <c r="U494" t="str">
        <f>_xlfn.IFS(Table13[[#This Row],[Risk_Score]]&gt;80,"High",AND(Table13[[#This Row],[Risk_Score]]&lt;=80,Table13[[#This Row],[Risk_Score]]&gt;45),"Normal",Table13[[#This Row],[Risk_Score]]&lt;=45,"Low")</f>
        <v>Normal</v>
      </c>
      <c r="V494" s="7">
        <f t="shared" si="7"/>
        <v>3089.9592221282201</v>
      </c>
    </row>
    <row r="495" spans="1:22">
      <c r="A495" t="s">
        <v>1739</v>
      </c>
      <c r="B495" t="s">
        <v>717</v>
      </c>
      <c r="C495" t="s">
        <v>22</v>
      </c>
      <c r="D495" s="2">
        <v>32288.202971689501</v>
      </c>
      <c r="E495" s="4">
        <v>46019</v>
      </c>
      <c r="F495" t="s">
        <v>1740</v>
      </c>
      <c r="G495" t="s">
        <v>141</v>
      </c>
      <c r="H495" t="s">
        <v>25</v>
      </c>
      <c r="I495" t="s">
        <v>99</v>
      </c>
      <c r="J495" t="s">
        <v>87</v>
      </c>
      <c r="K495" t="s">
        <v>1741</v>
      </c>
      <c r="L495" t="s">
        <v>155</v>
      </c>
      <c r="M495" s="2">
        <v>4812.4054156168904</v>
      </c>
      <c r="N495" s="2">
        <v>155.82645832732399</v>
      </c>
      <c r="O495" t="s">
        <v>54</v>
      </c>
      <c r="P495">
        <v>2</v>
      </c>
      <c r="Q495" t="s">
        <v>95</v>
      </c>
      <c r="R495" t="s">
        <v>133</v>
      </c>
      <c r="S495" s="2">
        <v>18.788999301828799</v>
      </c>
      <c r="T495" s="2">
        <v>83.897109667406795</v>
      </c>
      <c r="U495" t="str">
        <f>_xlfn.IFS(Table13[[#This Row],[Risk_Score]]&gt;80,"High",AND(Table13[[#This Row],[Risk_Score]]&lt;=80,Table13[[#This Row],[Risk_Score]]&gt;45),"Normal",Table13[[#This Row],[Risk_Score]]&lt;=45,"Low")</f>
        <v>High</v>
      </c>
      <c r="V495" s="7">
        <f t="shared" si="7"/>
        <v>4656.5789572895701</v>
      </c>
    </row>
    <row r="496" spans="1:22">
      <c r="A496" t="s">
        <v>1742</v>
      </c>
      <c r="B496" t="s">
        <v>1323</v>
      </c>
      <c r="C496" t="s">
        <v>35</v>
      </c>
      <c r="D496" s="2">
        <v>27475.295585113799</v>
      </c>
      <c r="E496" s="4">
        <v>46020</v>
      </c>
      <c r="F496" t="s">
        <v>1743</v>
      </c>
      <c r="G496" t="s">
        <v>50</v>
      </c>
      <c r="H496" t="s">
        <v>38</v>
      </c>
      <c r="I496" t="s">
        <v>26</v>
      </c>
      <c r="J496" t="s">
        <v>87</v>
      </c>
      <c r="K496" t="s">
        <v>1744</v>
      </c>
      <c r="L496" t="s">
        <v>81</v>
      </c>
      <c r="M496" s="2">
        <v>1201.55136001454</v>
      </c>
      <c r="N496" s="2">
        <v>0</v>
      </c>
      <c r="O496" t="s">
        <v>43</v>
      </c>
      <c r="P496">
        <v>4</v>
      </c>
      <c r="Q496" t="s">
        <v>55</v>
      </c>
      <c r="R496" t="s">
        <v>45</v>
      </c>
      <c r="S496" s="2">
        <v>17.1401489926692</v>
      </c>
      <c r="T496" s="2">
        <v>1.45341352659907</v>
      </c>
      <c r="U496" t="str">
        <f>_xlfn.IFS(Table13[[#This Row],[Risk_Score]]&gt;80,"High",AND(Table13[[#This Row],[Risk_Score]]&lt;=80,Table13[[#This Row],[Risk_Score]]&gt;45),"Normal",Table13[[#This Row],[Risk_Score]]&lt;=45,"Low")</f>
        <v>Low</v>
      </c>
      <c r="V496" s="7">
        <f t="shared" si="7"/>
        <v>1201.55136001454</v>
      </c>
    </row>
    <row r="497" spans="1:22">
      <c r="A497" t="s">
        <v>1745</v>
      </c>
      <c r="B497" t="s">
        <v>1337</v>
      </c>
      <c r="C497" t="s">
        <v>22</v>
      </c>
      <c r="D497" s="2">
        <v>19023.506389693601</v>
      </c>
      <c r="E497" s="4">
        <v>46020</v>
      </c>
      <c r="F497" t="s">
        <v>1746</v>
      </c>
      <c r="G497" t="s">
        <v>50</v>
      </c>
      <c r="H497" t="s">
        <v>1762</v>
      </c>
      <c r="I497" t="s">
        <v>26</v>
      </c>
      <c r="J497" t="s">
        <v>87</v>
      </c>
      <c r="K497" t="s">
        <v>1747</v>
      </c>
      <c r="L497" t="s">
        <v>81</v>
      </c>
      <c r="M497" s="2">
        <v>1433.2542712285699</v>
      </c>
      <c r="N497" s="2">
        <v>0</v>
      </c>
      <c r="O497" t="s">
        <v>43</v>
      </c>
      <c r="P497">
        <v>0</v>
      </c>
      <c r="Q497" t="s">
        <v>55</v>
      </c>
      <c r="R497" t="s">
        <v>45</v>
      </c>
      <c r="S497" s="2">
        <v>15.816184025280799</v>
      </c>
      <c r="T497" s="2">
        <v>74.959944112076201</v>
      </c>
      <c r="U497" t="str">
        <f>_xlfn.IFS(Table13[[#This Row],[Risk_Score]]&gt;80,"High",AND(Table13[[#This Row],[Risk_Score]]&lt;=80,Table13[[#This Row],[Risk_Score]]&gt;45),"Normal",Table13[[#This Row],[Risk_Score]]&lt;=45,"Low")</f>
        <v>Normal</v>
      </c>
      <c r="V497" s="7">
        <f t="shared" si="7"/>
        <v>1433.2542712285699</v>
      </c>
    </row>
    <row r="498" spans="1:22">
      <c r="A498" t="s">
        <v>1748</v>
      </c>
      <c r="B498" t="s">
        <v>1210</v>
      </c>
      <c r="C498" t="s">
        <v>35</v>
      </c>
      <c r="D498" s="2">
        <v>13506.7568530628</v>
      </c>
      <c r="E498" s="4">
        <v>46021</v>
      </c>
      <c r="F498" t="s">
        <v>1749</v>
      </c>
      <c r="G498" t="s">
        <v>50</v>
      </c>
      <c r="H498" t="s">
        <v>1762</v>
      </c>
      <c r="I498" t="s">
        <v>51</v>
      </c>
      <c r="J498" t="s">
        <v>60</v>
      </c>
      <c r="K498" t="s">
        <v>1750</v>
      </c>
      <c r="L498" t="s">
        <v>155</v>
      </c>
      <c r="M498" s="2">
        <v>319.606934465846</v>
      </c>
      <c r="N498" s="2">
        <v>0</v>
      </c>
      <c r="O498" t="s">
        <v>43</v>
      </c>
      <c r="P498">
        <v>0</v>
      </c>
      <c r="Q498" t="s">
        <v>55</v>
      </c>
      <c r="R498" t="s">
        <v>45</v>
      </c>
      <c r="S498" s="2">
        <v>29.894041549723202</v>
      </c>
      <c r="T498" s="2">
        <v>78.652588710359097</v>
      </c>
      <c r="U498" t="str">
        <f>_xlfn.IFS(Table13[[#This Row],[Risk_Score]]&gt;80,"High",AND(Table13[[#This Row],[Risk_Score]]&lt;=80,Table13[[#This Row],[Risk_Score]]&gt;45),"Normal",Table13[[#This Row],[Risk_Score]]&lt;=45,"Low")</f>
        <v>Normal</v>
      </c>
      <c r="V498" s="7">
        <f t="shared" si="7"/>
        <v>319.606934465846</v>
      </c>
    </row>
    <row r="499" spans="1:22">
      <c r="A499" t="s">
        <v>1751</v>
      </c>
      <c r="B499" t="s">
        <v>1752</v>
      </c>
      <c r="C499" t="s">
        <v>22</v>
      </c>
      <c r="D499" s="2">
        <v>8184.4925067900704</v>
      </c>
      <c r="E499" s="4">
        <v>46021</v>
      </c>
      <c r="F499" t="s">
        <v>1753</v>
      </c>
      <c r="G499" t="s">
        <v>50</v>
      </c>
      <c r="H499" t="s">
        <v>38</v>
      </c>
      <c r="I499" t="s">
        <v>99</v>
      </c>
      <c r="J499" t="s">
        <v>60</v>
      </c>
      <c r="K499" t="s">
        <v>1754</v>
      </c>
      <c r="L499" t="s">
        <v>1763</v>
      </c>
      <c r="M499" s="2">
        <v>3752.6795796620399</v>
      </c>
      <c r="N499" s="2">
        <v>0</v>
      </c>
      <c r="O499" t="s">
        <v>62</v>
      </c>
      <c r="P499">
        <v>2</v>
      </c>
      <c r="Q499" t="s">
        <v>1763</v>
      </c>
      <c r="R499" t="s">
        <v>32</v>
      </c>
      <c r="S499" s="2">
        <v>20.156129400990501</v>
      </c>
      <c r="T499" s="2">
        <v>37.820678387307801</v>
      </c>
      <c r="U499" t="str">
        <f>_xlfn.IFS(Table13[[#This Row],[Risk_Score]]&gt;80,"High",AND(Table13[[#This Row],[Risk_Score]]&lt;=80,Table13[[#This Row],[Risk_Score]]&gt;45),"Normal",Table13[[#This Row],[Risk_Score]]&lt;=45,"Low")</f>
        <v>Low</v>
      </c>
      <c r="V499" s="7">
        <f t="shared" si="7"/>
        <v>3752.6795796620399</v>
      </c>
    </row>
    <row r="500" spans="1:22">
      <c r="A500" t="s">
        <v>1755</v>
      </c>
      <c r="B500" t="s">
        <v>850</v>
      </c>
      <c r="C500" t="s">
        <v>35</v>
      </c>
      <c r="D500" s="2">
        <v>28916.564918215699</v>
      </c>
      <c r="E500" s="4">
        <v>46022</v>
      </c>
      <c r="F500" t="s">
        <v>1756</v>
      </c>
      <c r="G500" t="s">
        <v>141</v>
      </c>
      <c r="H500" t="s">
        <v>38</v>
      </c>
      <c r="I500" t="s">
        <v>51</v>
      </c>
      <c r="J500" t="s">
        <v>60</v>
      </c>
      <c r="K500" t="s">
        <v>1757</v>
      </c>
      <c r="L500" t="s">
        <v>42</v>
      </c>
      <c r="M500" s="2">
        <v>1848.2003421745501</v>
      </c>
      <c r="N500" s="2">
        <v>56.982943559620601</v>
      </c>
      <c r="O500" t="s">
        <v>43</v>
      </c>
      <c r="P500">
        <v>3</v>
      </c>
      <c r="Q500" t="s">
        <v>44</v>
      </c>
      <c r="R500" t="s">
        <v>133</v>
      </c>
      <c r="S500" s="2">
        <v>18.097169158922</v>
      </c>
      <c r="T500" s="2">
        <v>26.9359700663538</v>
      </c>
      <c r="U500" t="str">
        <f>_xlfn.IFS(Table13[[#This Row],[Risk_Score]]&gt;80,"High",AND(Table13[[#This Row],[Risk_Score]]&lt;=80,Table13[[#This Row],[Risk_Score]]&gt;45),"Normal",Table13[[#This Row],[Risk_Score]]&lt;=45,"Low")</f>
        <v>Low</v>
      </c>
      <c r="V500" s="7">
        <f t="shared" si="7"/>
        <v>1791.2173986149301</v>
      </c>
    </row>
    <row r="501" spans="1:22">
      <c r="A501" t="s">
        <v>1758</v>
      </c>
      <c r="B501" t="s">
        <v>562</v>
      </c>
      <c r="C501" t="s">
        <v>85</v>
      </c>
      <c r="D501" s="2">
        <v>4229.1461597617799</v>
      </c>
      <c r="E501" s="4">
        <v>46022</v>
      </c>
      <c r="F501" t="s">
        <v>1759</v>
      </c>
      <c r="G501" t="s">
        <v>172</v>
      </c>
      <c r="H501" t="s">
        <v>1762</v>
      </c>
      <c r="I501" t="s">
        <v>26</v>
      </c>
      <c r="J501" t="s">
        <v>87</v>
      </c>
      <c r="K501" t="s">
        <v>1760</v>
      </c>
      <c r="L501" t="s">
        <v>81</v>
      </c>
      <c r="M501" s="2">
        <v>2809.1545733552298</v>
      </c>
      <c r="N501" s="2">
        <v>0</v>
      </c>
      <c r="O501" t="s">
        <v>43</v>
      </c>
      <c r="P501">
        <v>0</v>
      </c>
      <c r="Q501" t="s">
        <v>55</v>
      </c>
      <c r="R501" t="s">
        <v>133</v>
      </c>
      <c r="S501" s="2">
        <v>-15.462400247972001</v>
      </c>
      <c r="T501" s="2">
        <v>27.479781076790101</v>
      </c>
      <c r="U501" t="str">
        <f>_xlfn.IFS(Table13[[#This Row],[Risk_Score]]&gt;80,"High",AND(Table13[[#This Row],[Risk_Score]]&lt;=80,Table13[[#This Row],[Risk_Score]]&gt;45),"Normal",Table13[[#This Row],[Risk_Score]]&lt;=45,"Low")</f>
        <v>Low</v>
      </c>
      <c r="V501" s="7">
        <f t="shared" si="7"/>
        <v>2809.1545733552298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5"/>
  <sheetViews>
    <sheetView tabSelected="1" workbookViewId="0">
      <selection activeCell="E27" sqref="E27"/>
    </sheetView>
  </sheetViews>
  <sheetFormatPr defaultColWidth="9" defaultRowHeight="14.4"/>
  <cols>
    <col min="1" max="1" width="15.21875" bestFit="1" customWidth="1"/>
    <col min="2" max="2" width="14.44140625" bestFit="1" customWidth="1"/>
    <col min="3" max="3" width="14.88671875" customWidth="1"/>
    <col min="4" max="4" width="12.5546875" bestFit="1" customWidth="1"/>
    <col min="5" max="5" width="14.44140625" bestFit="1" customWidth="1"/>
    <col min="7" max="7" width="13.33203125" bestFit="1" customWidth="1"/>
    <col min="8" max="8" width="14.44140625" bestFit="1" customWidth="1"/>
    <col min="9" max="9" width="12.33203125" bestFit="1" customWidth="1"/>
    <col min="10" max="10" width="10.6640625" bestFit="1" customWidth="1"/>
    <col min="11" max="11" width="17.77734375" bestFit="1" customWidth="1"/>
    <col min="12" max="12" width="22.44140625" bestFit="1" customWidth="1"/>
    <col min="13" max="13" width="17.33203125" bestFit="1" customWidth="1"/>
    <col min="17" max="17" width="23.109375" bestFit="1" customWidth="1"/>
    <col min="18" max="18" width="18" bestFit="1" customWidth="1"/>
  </cols>
  <sheetData>
    <row r="1" spans="1:23">
      <c r="A1" s="15" t="s">
        <v>0</v>
      </c>
      <c r="B1" s="15" t="s">
        <v>2</v>
      </c>
      <c r="C1" s="15" t="s">
        <v>7</v>
      </c>
      <c r="D1" s="15" t="s">
        <v>9</v>
      </c>
      <c r="H1" s="21" t="s">
        <v>0</v>
      </c>
      <c r="I1" s="21" t="s">
        <v>3</v>
      </c>
      <c r="J1" s="21" t="s">
        <v>6</v>
      </c>
      <c r="K1" s="21" t="s">
        <v>8</v>
      </c>
      <c r="L1" s="21" t="s">
        <v>11</v>
      </c>
      <c r="M1" s="21" t="s">
        <v>16</v>
      </c>
      <c r="N1" s="22"/>
    </row>
    <row r="2" spans="1:23">
      <c r="A2" s="14" t="s">
        <v>143</v>
      </c>
      <c r="B2" s="14" t="s">
        <v>22</v>
      </c>
      <c r="C2" s="14" t="s">
        <v>1762</v>
      </c>
      <c r="D2" s="14" t="s">
        <v>87</v>
      </c>
      <c r="H2" s="23" t="s">
        <v>20</v>
      </c>
      <c r="I2" s="24">
        <v>44384.278077423798</v>
      </c>
      <c r="J2" s="23" t="s">
        <v>24</v>
      </c>
      <c r="K2" s="23" t="s">
        <v>26</v>
      </c>
      <c r="L2" s="23" t="s">
        <v>29</v>
      </c>
      <c r="M2" s="23" t="s">
        <v>31</v>
      </c>
      <c r="P2" s="19" t="s">
        <v>1764</v>
      </c>
      <c r="Q2" s="19"/>
      <c r="R2" s="19"/>
      <c r="S2" s="19"/>
      <c r="T2" s="19"/>
      <c r="U2" s="19"/>
      <c r="V2" s="19"/>
      <c r="W2" s="19"/>
    </row>
    <row r="3" spans="1:23">
      <c r="A3" s="14" t="s">
        <v>83</v>
      </c>
      <c r="B3" s="14" t="s">
        <v>85</v>
      </c>
      <c r="C3" s="14" t="s">
        <v>1762</v>
      </c>
      <c r="D3" s="14" t="s">
        <v>87</v>
      </c>
      <c r="H3" s="23" t="s">
        <v>33</v>
      </c>
      <c r="I3" s="24">
        <v>34689.443051700597</v>
      </c>
      <c r="J3" s="23" t="s">
        <v>37</v>
      </c>
      <c r="K3" s="23" t="s">
        <v>99</v>
      </c>
      <c r="L3" s="23" t="s">
        <v>42</v>
      </c>
      <c r="M3" s="23" t="s">
        <v>44</v>
      </c>
    </row>
    <row r="4" spans="1:23">
      <c r="A4" s="13" t="s">
        <v>121</v>
      </c>
      <c r="B4" s="13" t="s">
        <v>35</v>
      </c>
      <c r="C4" s="13" t="s">
        <v>1762</v>
      </c>
      <c r="D4" s="13" t="s">
        <v>87</v>
      </c>
      <c r="H4" s="23" t="s">
        <v>46</v>
      </c>
      <c r="I4" s="24">
        <v>2388.4771935911799</v>
      </c>
      <c r="J4" s="23" t="s">
        <v>50</v>
      </c>
      <c r="K4" s="23" t="s">
        <v>51</v>
      </c>
      <c r="L4" s="23" t="s">
        <v>53</v>
      </c>
      <c r="M4" s="23" t="s">
        <v>55</v>
      </c>
      <c r="Q4" s="11" t="s">
        <v>1765</v>
      </c>
    </row>
    <row r="5" spans="1:23">
      <c r="A5" s="13" t="s">
        <v>89</v>
      </c>
      <c r="B5" s="13" t="s">
        <v>35</v>
      </c>
      <c r="C5" s="13" t="s">
        <v>38</v>
      </c>
      <c r="D5" s="13" t="s">
        <v>87</v>
      </c>
      <c r="H5" s="23" t="s">
        <v>56</v>
      </c>
      <c r="I5" s="24">
        <v>9195.9655359503104</v>
      </c>
      <c r="J5" s="23" t="s">
        <v>59</v>
      </c>
      <c r="K5" s="23" t="s">
        <v>51</v>
      </c>
      <c r="L5" s="23" t="s">
        <v>53</v>
      </c>
      <c r="M5" s="23" t="s">
        <v>63</v>
      </c>
      <c r="Q5" s="12">
        <f>SUM(Table13[Amount])</f>
        <v>16185746.136855302</v>
      </c>
    </row>
    <row r="6" spans="1:23">
      <c r="A6" s="14" t="s">
        <v>96</v>
      </c>
      <c r="B6" s="14" t="s">
        <v>22</v>
      </c>
      <c r="C6" s="14" t="s">
        <v>25</v>
      </c>
      <c r="D6" s="14" t="s">
        <v>87</v>
      </c>
      <c r="H6" s="23" t="s">
        <v>65</v>
      </c>
      <c r="I6" s="24">
        <v>37110.178517010398</v>
      </c>
      <c r="J6" s="23" t="s">
        <v>68</v>
      </c>
      <c r="K6" s="23" t="s">
        <v>26</v>
      </c>
      <c r="L6" s="23" t="s">
        <v>29</v>
      </c>
      <c r="M6" s="23" t="s">
        <v>44</v>
      </c>
    </row>
    <row r="7" spans="1:23">
      <c r="A7" s="14" t="s">
        <v>116</v>
      </c>
      <c r="B7" s="14" t="s">
        <v>22</v>
      </c>
      <c r="C7" s="14" t="s">
        <v>25</v>
      </c>
      <c r="D7" s="14" t="s">
        <v>87</v>
      </c>
      <c r="H7" s="23" t="s">
        <v>71</v>
      </c>
      <c r="I7" s="24">
        <v>13568.5699973705</v>
      </c>
      <c r="J7" s="23" t="s">
        <v>59</v>
      </c>
      <c r="K7" s="23" t="s">
        <v>75</v>
      </c>
      <c r="L7" s="23" t="s">
        <v>53</v>
      </c>
      <c r="M7" s="23" t="s">
        <v>31</v>
      </c>
      <c r="P7" s="19" t="s">
        <v>1766</v>
      </c>
      <c r="Q7" s="19"/>
      <c r="R7" s="19"/>
      <c r="S7" s="19"/>
      <c r="T7" s="19"/>
      <c r="U7" s="19"/>
    </row>
    <row r="8" spans="1:23">
      <c r="A8" s="14" t="s">
        <v>134</v>
      </c>
      <c r="B8" s="14" t="s">
        <v>85</v>
      </c>
      <c r="C8" s="14" t="s">
        <v>1763</v>
      </c>
      <c r="D8" s="14" t="s">
        <v>87</v>
      </c>
      <c r="H8" s="23" t="s">
        <v>77</v>
      </c>
      <c r="I8" s="24">
        <v>23862.9137697718</v>
      </c>
      <c r="J8" s="23" t="s">
        <v>68</v>
      </c>
      <c r="K8" s="23" t="s">
        <v>26</v>
      </c>
      <c r="L8" s="23" t="s">
        <v>81</v>
      </c>
      <c r="M8" s="23" t="s">
        <v>44</v>
      </c>
    </row>
    <row r="9" spans="1:23">
      <c r="A9" s="13" t="s">
        <v>138</v>
      </c>
      <c r="B9" s="13" t="s">
        <v>22</v>
      </c>
      <c r="C9" s="13" t="s">
        <v>38</v>
      </c>
      <c r="D9" s="13" t="s">
        <v>87</v>
      </c>
      <c r="H9" s="23" t="s">
        <v>83</v>
      </c>
      <c r="I9" s="24">
        <v>17191.9604332093</v>
      </c>
      <c r="J9" s="23" t="s">
        <v>24</v>
      </c>
      <c r="K9" s="23" t="s">
        <v>75</v>
      </c>
      <c r="L9" s="23" t="s">
        <v>53</v>
      </c>
      <c r="M9" s="23" t="s">
        <v>31</v>
      </c>
      <c r="Q9" s="11" t="s">
        <v>1767</v>
      </c>
    </row>
    <row r="10" spans="1:23">
      <c r="A10" s="14" t="s">
        <v>33</v>
      </c>
      <c r="B10" s="14" t="s">
        <v>35</v>
      </c>
      <c r="C10" s="14" t="s">
        <v>38</v>
      </c>
      <c r="D10" s="14" t="s">
        <v>87</v>
      </c>
      <c r="H10" s="23" t="s">
        <v>89</v>
      </c>
      <c r="I10" s="24">
        <v>11882.2150025585</v>
      </c>
      <c r="J10" s="23" t="s">
        <v>92</v>
      </c>
      <c r="K10" s="23" t="s">
        <v>26</v>
      </c>
      <c r="L10" s="23" t="s">
        <v>53</v>
      </c>
      <c r="M10" s="23" t="s">
        <v>95</v>
      </c>
      <c r="Q10" s="10">
        <f>SUMIF(Table13[Fraud_Flag],"Yes",Table13[Amount])</f>
        <v>10866248.250426769</v>
      </c>
    </row>
    <row r="11" spans="1:23">
      <c r="A11" s="13" t="s">
        <v>77</v>
      </c>
      <c r="B11" s="13" t="s">
        <v>22</v>
      </c>
      <c r="C11" s="13" t="s">
        <v>1762</v>
      </c>
      <c r="D11" s="13" t="s">
        <v>60</v>
      </c>
      <c r="H11" s="23" t="s">
        <v>96</v>
      </c>
      <c r="I11" s="24">
        <v>20506.863336566101</v>
      </c>
      <c r="J11" s="23" t="s">
        <v>50</v>
      </c>
      <c r="K11" s="23" t="s">
        <v>99</v>
      </c>
      <c r="L11" s="23" t="s">
        <v>53</v>
      </c>
      <c r="M11" s="23" t="s">
        <v>31</v>
      </c>
    </row>
    <row r="12" spans="1:23">
      <c r="A12" s="13" t="s">
        <v>129</v>
      </c>
      <c r="B12" s="13" t="s">
        <v>35</v>
      </c>
      <c r="C12" s="13" t="s">
        <v>1762</v>
      </c>
      <c r="D12" s="13" t="s">
        <v>60</v>
      </c>
      <c r="H12" s="23" t="s">
        <v>103</v>
      </c>
      <c r="I12" s="24">
        <v>49269.828880862602</v>
      </c>
      <c r="J12" s="23" t="s">
        <v>1763</v>
      </c>
      <c r="K12" s="23" t="s">
        <v>26</v>
      </c>
      <c r="L12" s="23" t="s">
        <v>29</v>
      </c>
      <c r="M12" s="23" t="s">
        <v>63</v>
      </c>
      <c r="P12" s="19" t="s">
        <v>1768</v>
      </c>
      <c r="Q12" s="19"/>
      <c r="R12" s="19"/>
    </row>
    <row r="13" spans="1:23">
      <c r="A13" s="13" t="s">
        <v>103</v>
      </c>
      <c r="B13" s="13" t="s">
        <v>48</v>
      </c>
      <c r="C13" s="13" t="s">
        <v>1762</v>
      </c>
      <c r="D13" s="13" t="s">
        <v>60</v>
      </c>
      <c r="H13" s="23" t="s">
        <v>108</v>
      </c>
      <c r="I13" s="24">
        <v>3269.2402965410702</v>
      </c>
      <c r="J13" s="23" t="s">
        <v>92</v>
      </c>
      <c r="K13" s="23" t="s">
        <v>75</v>
      </c>
      <c r="L13" s="23" t="s">
        <v>29</v>
      </c>
      <c r="M13" s="23" t="s">
        <v>95</v>
      </c>
    </row>
    <row r="14" spans="1:23">
      <c r="A14" s="13" t="s">
        <v>65</v>
      </c>
      <c r="B14" s="13" t="s">
        <v>35</v>
      </c>
      <c r="C14" s="13" t="s">
        <v>1762</v>
      </c>
      <c r="D14" s="13" t="s">
        <v>60</v>
      </c>
      <c r="H14" s="23" t="s">
        <v>112</v>
      </c>
      <c r="I14" s="24">
        <v>30344.483864686299</v>
      </c>
      <c r="J14" s="23" t="s">
        <v>92</v>
      </c>
      <c r="K14" s="23" t="s">
        <v>75</v>
      </c>
      <c r="L14" s="23" t="s">
        <v>81</v>
      </c>
      <c r="M14" s="23" t="s">
        <v>44</v>
      </c>
      <c r="Q14" s="11" t="s">
        <v>1769</v>
      </c>
    </row>
    <row r="15" spans="1:23">
      <c r="A15" s="14" t="s">
        <v>108</v>
      </c>
      <c r="B15" s="14" t="s">
        <v>22</v>
      </c>
      <c r="C15" s="14" t="s">
        <v>38</v>
      </c>
      <c r="D15" s="14" t="s">
        <v>60</v>
      </c>
      <c r="H15" s="23" t="s">
        <v>116</v>
      </c>
      <c r="I15" s="24">
        <v>23338.436103708798</v>
      </c>
      <c r="J15" s="23" t="s">
        <v>24</v>
      </c>
      <c r="K15" s="23" t="s">
        <v>26</v>
      </c>
      <c r="L15" s="23" t="s">
        <v>120</v>
      </c>
      <c r="M15" s="23" t="s">
        <v>95</v>
      </c>
      <c r="Q15" s="10">
        <f>COUNTIF(Table13[Transaction_Status],"Failed")</f>
        <v>224</v>
      </c>
    </row>
    <row r="16" spans="1:23">
      <c r="A16" s="13" t="s">
        <v>46</v>
      </c>
      <c r="B16" s="13" t="s">
        <v>48</v>
      </c>
      <c r="C16" s="13" t="s">
        <v>25</v>
      </c>
      <c r="D16" s="13" t="s">
        <v>60</v>
      </c>
      <c r="H16" s="23" t="s">
        <v>121</v>
      </c>
      <c r="I16" s="24">
        <v>31983.5743281797</v>
      </c>
      <c r="J16" s="23" t="s">
        <v>59</v>
      </c>
      <c r="K16" s="23" t="s">
        <v>99</v>
      </c>
      <c r="L16" s="23" t="s">
        <v>81</v>
      </c>
      <c r="M16" s="23" t="s">
        <v>31</v>
      </c>
    </row>
    <row r="17" spans="1:26">
      <c r="A17" s="14" t="s">
        <v>125</v>
      </c>
      <c r="B17" s="14" t="s">
        <v>35</v>
      </c>
      <c r="C17" s="14" t="s">
        <v>25</v>
      </c>
      <c r="D17" s="14" t="s">
        <v>60</v>
      </c>
      <c r="H17" s="23" t="s">
        <v>125</v>
      </c>
      <c r="I17" s="24">
        <v>6742.5347365151601</v>
      </c>
      <c r="J17" s="23" t="s">
        <v>68</v>
      </c>
      <c r="K17" s="23" t="s">
        <v>51</v>
      </c>
      <c r="L17" s="23" t="s">
        <v>42</v>
      </c>
      <c r="M17" s="23" t="s">
        <v>44</v>
      </c>
      <c r="P17" s="19" t="s">
        <v>1770</v>
      </c>
      <c r="Q17" s="19"/>
      <c r="R17" s="19"/>
      <c r="S17" s="19"/>
      <c r="T17" s="19"/>
    </row>
    <row r="18" spans="1:26">
      <c r="A18" s="14" t="s">
        <v>56</v>
      </c>
      <c r="B18" s="14" t="s">
        <v>35</v>
      </c>
      <c r="C18" s="14" t="s">
        <v>38</v>
      </c>
      <c r="D18" s="14" t="s">
        <v>60</v>
      </c>
      <c r="H18" s="23" t="s">
        <v>129</v>
      </c>
      <c r="I18" s="24">
        <v>12293.222457686299</v>
      </c>
      <c r="J18" s="23" t="s">
        <v>24</v>
      </c>
      <c r="K18" s="23" t="s">
        <v>75</v>
      </c>
      <c r="L18" s="23" t="s">
        <v>81</v>
      </c>
      <c r="M18" s="23" t="s">
        <v>63</v>
      </c>
    </row>
    <row r="19" spans="1:26">
      <c r="A19" s="13" t="s">
        <v>112</v>
      </c>
      <c r="B19" s="13" t="s">
        <v>48</v>
      </c>
      <c r="C19" s="13" t="s">
        <v>38</v>
      </c>
      <c r="D19" s="13" t="s">
        <v>60</v>
      </c>
      <c r="H19" s="23" t="s">
        <v>134</v>
      </c>
      <c r="I19" s="24">
        <v>43045.537692747603</v>
      </c>
      <c r="J19" s="23" t="s">
        <v>24</v>
      </c>
      <c r="K19" s="23" t="s">
        <v>75</v>
      </c>
      <c r="L19" s="23" t="s">
        <v>81</v>
      </c>
      <c r="M19" s="23" t="s">
        <v>55</v>
      </c>
      <c r="Q19" s="20" t="s">
        <v>1771</v>
      </c>
      <c r="R19" s="20"/>
    </row>
    <row r="20" spans="1:26">
      <c r="A20" s="13" t="s">
        <v>20</v>
      </c>
      <c r="B20" s="13" t="s">
        <v>22</v>
      </c>
      <c r="C20" s="13" t="s">
        <v>25</v>
      </c>
      <c r="D20" s="13" t="s">
        <v>60</v>
      </c>
      <c r="H20" s="23" t="s">
        <v>138</v>
      </c>
      <c r="I20" s="24">
        <v>45540.137776661199</v>
      </c>
      <c r="J20" s="23" t="s">
        <v>141</v>
      </c>
      <c r="K20" s="23" t="s">
        <v>26</v>
      </c>
      <c r="L20" s="23" t="s">
        <v>120</v>
      </c>
      <c r="M20" s="23" t="s">
        <v>63</v>
      </c>
      <c r="Q20" s="17">
        <f>AVERAGEIF(Table13[User_Segment],"Premium",Table13[Amount])</f>
        <v>33595.655896177101</v>
      </c>
      <c r="R20" s="18"/>
    </row>
    <row r="21" spans="1:26">
      <c r="A21" s="14" t="s">
        <v>71</v>
      </c>
      <c r="B21" s="14" t="s">
        <v>35</v>
      </c>
      <c r="C21" s="14" t="s">
        <v>25</v>
      </c>
      <c r="D21" s="14" t="s">
        <v>60</v>
      </c>
      <c r="H21" s="23" t="s">
        <v>143</v>
      </c>
      <c r="I21" s="24">
        <v>17319.623128337102</v>
      </c>
      <c r="J21" s="23" t="s">
        <v>59</v>
      </c>
      <c r="K21" s="23" t="s">
        <v>99</v>
      </c>
      <c r="L21" s="23" t="s">
        <v>81</v>
      </c>
      <c r="M21" s="23" t="s">
        <v>44</v>
      </c>
    </row>
    <row r="22" spans="1:26">
      <c r="P22" s="19" t="s">
        <v>1772</v>
      </c>
      <c r="Q22" s="19"/>
      <c r="R22" s="19"/>
      <c r="S22" s="19"/>
      <c r="T22" s="19"/>
      <c r="U22" s="19"/>
      <c r="V22" s="19"/>
      <c r="W22" s="19"/>
    </row>
    <row r="24" spans="1:26">
      <c r="A24" s="25" t="s">
        <v>1775</v>
      </c>
      <c r="B24" t="s">
        <v>1777</v>
      </c>
      <c r="D24" s="25" t="s">
        <v>1775</v>
      </c>
      <c r="E24" t="s">
        <v>1777</v>
      </c>
      <c r="G24" s="25" t="s">
        <v>1775</v>
      </c>
      <c r="H24" t="s">
        <v>1777</v>
      </c>
      <c r="Q24" s="16" t="s">
        <v>10</v>
      </c>
      <c r="R24" s="16" t="s">
        <v>11</v>
      </c>
    </row>
    <row r="25" spans="1:26">
      <c r="A25" s="26" t="s">
        <v>29</v>
      </c>
      <c r="B25" s="27"/>
      <c r="D25" s="26" t="s">
        <v>38</v>
      </c>
      <c r="E25" s="27"/>
      <c r="G25" s="26" t="s">
        <v>50</v>
      </c>
      <c r="H25" s="2">
        <v>339699.29289788194</v>
      </c>
      <c r="Q25" s="10" t="s">
        <v>128</v>
      </c>
      <c r="R25" s="10" t="str">
        <f>VLOOKUP(Q25,Table13[[#All],[Merchant_ID]:[Merchant_Category]],2,0)</f>
        <v>Travel</v>
      </c>
    </row>
    <row r="26" spans="1:26">
      <c r="A26" s="28" t="s">
        <v>87</v>
      </c>
      <c r="B26" s="27">
        <v>134033.52577183786</v>
      </c>
      <c r="D26" s="28" t="s">
        <v>87</v>
      </c>
      <c r="E26" s="27">
        <v>3103862.7710502907</v>
      </c>
      <c r="G26" s="28" t="s">
        <v>87</v>
      </c>
      <c r="H26" s="2">
        <v>339699.29289788194</v>
      </c>
    </row>
    <row r="27" spans="1:26">
      <c r="A27" s="26" t="s">
        <v>120</v>
      </c>
      <c r="B27" s="27"/>
      <c r="D27" s="26" t="s">
        <v>1762</v>
      </c>
      <c r="E27" s="27"/>
      <c r="G27" s="26" t="s">
        <v>92</v>
      </c>
      <c r="H27" s="2">
        <v>1830308.918930589</v>
      </c>
      <c r="P27" s="19" t="s">
        <v>1773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28" t="s">
        <v>87</v>
      </c>
      <c r="B28" s="27">
        <v>68878.573880369993</v>
      </c>
      <c r="D28" s="28" t="s">
        <v>87</v>
      </c>
      <c r="E28" s="27">
        <v>3652602.9909128924</v>
      </c>
      <c r="G28" s="28" t="s">
        <v>87</v>
      </c>
      <c r="H28" s="2">
        <v>1830308.918930589</v>
      </c>
    </row>
    <row r="29" spans="1:26">
      <c r="A29" s="26" t="s">
        <v>53</v>
      </c>
      <c r="B29" s="27"/>
      <c r="D29" s="26" t="s">
        <v>25</v>
      </c>
      <c r="E29" s="27"/>
      <c r="G29" s="26" t="s">
        <v>59</v>
      </c>
      <c r="H29" s="2">
        <v>888026.45214296016</v>
      </c>
      <c r="Q29" s="16" t="s">
        <v>1</v>
      </c>
      <c r="R29" s="16" t="s">
        <v>1774</v>
      </c>
    </row>
    <row r="30" spans="1:26">
      <c r="A30" s="28" t="s">
        <v>87</v>
      </c>
      <c r="B30" s="27">
        <v>74734.051499245892</v>
      </c>
      <c r="D30" s="28" t="s">
        <v>87</v>
      </c>
      <c r="E30" s="27">
        <v>4035461.3633457772</v>
      </c>
      <c r="G30" s="28" t="s">
        <v>87</v>
      </c>
      <c r="H30" s="2">
        <v>888026.45214296016</v>
      </c>
      <c r="Q30" s="10" t="s">
        <v>97</v>
      </c>
      <c r="R30" s="10" t="str">
        <f>INDEX(Table13[#All],MATCH(Q30,Table13[[#All],[User_ID]],0),MATCH(Table13[[#Headers],[Risk_Category]],Table13[#Headers],0))</f>
        <v>Low</v>
      </c>
    </row>
    <row r="31" spans="1:26">
      <c r="A31" s="26" t="s">
        <v>42</v>
      </c>
      <c r="B31" s="27"/>
      <c r="D31" s="26" t="s">
        <v>1776</v>
      </c>
      <c r="E31" s="27">
        <v>10791927.125308964</v>
      </c>
      <c r="G31" s="26" t="s">
        <v>37</v>
      </c>
      <c r="H31" s="2">
        <v>571433.03509769076</v>
      </c>
    </row>
    <row r="32" spans="1:26">
      <c r="A32" s="28" t="s">
        <v>87</v>
      </c>
      <c r="B32" s="27">
        <v>41431.977788215758</v>
      </c>
      <c r="G32" s="28" t="s">
        <v>87</v>
      </c>
      <c r="H32" s="2">
        <v>571433.03509769076</v>
      </c>
    </row>
    <row r="33" spans="1:8">
      <c r="A33" s="26" t="s">
        <v>81</v>
      </c>
      <c r="B33" s="27"/>
      <c r="G33" s="26" t="s">
        <v>24</v>
      </c>
      <c r="H33" s="2">
        <v>855420.6554134161</v>
      </c>
    </row>
    <row r="34" spans="1:8">
      <c r="A34" s="28" t="s">
        <v>87</v>
      </c>
      <c r="B34" s="27">
        <v>158849.3552414088</v>
      </c>
      <c r="G34" s="28" t="s">
        <v>87</v>
      </c>
      <c r="H34" s="2">
        <v>855420.6554134161</v>
      </c>
    </row>
    <row r="35" spans="1:8">
      <c r="A35" s="26" t="s">
        <v>1776</v>
      </c>
      <c r="B35" s="27">
        <v>477927.48418107833</v>
      </c>
      <c r="G35" s="26" t="s">
        <v>141</v>
      </c>
      <c r="H35" s="2">
        <v>722884.26187883806</v>
      </c>
    </row>
    <row r="36" spans="1:8">
      <c r="G36" s="28" t="s">
        <v>87</v>
      </c>
      <c r="H36" s="2">
        <v>722884.26187883806</v>
      </c>
    </row>
    <row r="37" spans="1:8">
      <c r="G37" s="26" t="s">
        <v>181</v>
      </c>
      <c r="H37" s="2">
        <v>835195.79646409012</v>
      </c>
    </row>
    <row r="38" spans="1:8">
      <c r="G38" s="28" t="s">
        <v>87</v>
      </c>
      <c r="H38" s="2">
        <v>835195.79646409012</v>
      </c>
    </row>
    <row r="39" spans="1:8">
      <c r="G39" s="26" t="s">
        <v>163</v>
      </c>
      <c r="H39" s="2">
        <v>1774379.719428753</v>
      </c>
    </row>
    <row r="40" spans="1:8">
      <c r="G40" s="28" t="s">
        <v>87</v>
      </c>
      <c r="H40" s="2">
        <v>1774379.719428753</v>
      </c>
    </row>
    <row r="41" spans="1:8">
      <c r="G41" s="26" t="s">
        <v>172</v>
      </c>
      <c r="H41" s="2">
        <v>2178232.6902245386</v>
      </c>
    </row>
    <row r="42" spans="1:8">
      <c r="G42" s="28" t="s">
        <v>87</v>
      </c>
      <c r="H42" s="2">
        <v>2178232.6902245386</v>
      </c>
    </row>
    <row r="43" spans="1:8">
      <c r="G43" s="26" t="s">
        <v>68</v>
      </c>
      <c r="H43" s="2">
        <v>862734.24158047116</v>
      </c>
    </row>
    <row r="44" spans="1:8">
      <c r="G44" s="28" t="s">
        <v>87</v>
      </c>
      <c r="H44" s="2">
        <v>862734.24158047116</v>
      </c>
    </row>
    <row r="45" spans="1:8">
      <c r="G45" s="26" t="s">
        <v>1776</v>
      </c>
      <c r="H45" s="2">
        <v>10858315.064059228</v>
      </c>
    </row>
  </sheetData>
  <dataConsolidate/>
  <mergeCells count="8">
    <mergeCell ref="Q20:R20"/>
    <mergeCell ref="P22:W22"/>
    <mergeCell ref="P27:Z27"/>
    <mergeCell ref="P2:W2"/>
    <mergeCell ref="P7:U7"/>
    <mergeCell ref="P12:R12"/>
    <mergeCell ref="P17:T17"/>
    <mergeCell ref="Q19:R19"/>
  </mergeCells>
  <conditionalFormatting sqref="A1:D21">
    <cfRule type="cellIs" dxfId="14" priority="6" operator="equal">
      <formula>"Web"</formula>
    </cfRule>
    <cfRule type="cellIs" dxfId="13" priority="7" operator="equal">
      <formula>"Android"</formula>
    </cfRule>
    <cfRule type="cellIs" dxfId="12" priority="8" operator="equal">
      <formula>"Ios"</formula>
    </cfRule>
    <cfRule type="cellIs" dxfId="11" priority="13" operator="equal">
      <formula>#REF!</formula>
    </cfRule>
  </conditionalFormatting>
  <conditionalFormatting sqref="D1:D24 D42:D1048576">
    <cfRule type="cellIs" dxfId="10" priority="4" operator="equal">
      <formula>"Yes"</formula>
    </cfRule>
    <cfRule type="cellIs" dxfId="9" priority="5" operator="equal">
      <formula>"No"</formula>
    </cfRule>
  </conditionalFormatting>
  <conditionalFormatting sqref="B1:B24 B82:B1048576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I1:I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{65CB142C-633F-4FDF-88A8-C05773498342}</x14:id>
        </ext>
      </extLst>
    </cfRule>
  </conditionalFormatting>
  <dataValidations count="2">
    <dataValidation type="list" allowBlank="1" showInputMessage="1" showErrorMessage="1" sqref="Q30" xr:uid="{537FB82A-78E1-4D03-9C26-BDB7B2AFEAA0}">
      <formula1>$B$2:$B$501</formula1>
    </dataValidation>
    <dataValidation type="list" allowBlank="1" showInputMessage="1" showErrorMessage="1" sqref="Q25" xr:uid="{85DF3C63-ED95-49D3-B6A0-638898E1C897}">
      <formula1>$K$2:$K$501</formula1>
    </dataValidation>
  </dataValidations>
  <pageMargins left="0.7" right="0.7" top="0.75" bottom="0.75" header="0.3" footer="0.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CB142C-633F-4FDF-88A8-C057734983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"/>
  <sheetViews>
    <sheetView workbookViewId="0">
      <selection activeCell="O21" sqref="O21"/>
    </sheetView>
  </sheetViews>
  <sheetFormatPr defaultColWidth="9" defaultRowHeight="14.4"/>
  <cols>
    <col min="1" max="16384" width="9" style="29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287B96B-29C6-4DEE-984D-C869AB332EC6}">
  <ds:schemaRefs/>
</ds:datastoreItem>
</file>

<file path=customXml/itemProps2.xml><?xml version="1.0" encoding="utf-8"?>
<ds:datastoreItem xmlns:ds="http://schemas.openxmlformats.org/officeDocument/2006/customXml" ds:itemID="{9B28DA0B-66A1-4ADA-BD3F-E6379C625810}">
  <ds:schemaRefs/>
</ds:datastoreItem>
</file>

<file path=customXml/itemProps3.xml><?xml version="1.0" encoding="utf-8"?>
<ds:datastoreItem xmlns:ds="http://schemas.openxmlformats.org/officeDocument/2006/customXml" ds:itemID="{59C4C884-7274-41CD-824A-D7562678E650}">
  <ds:schemaRefs/>
</ds:datastoreItem>
</file>

<file path=customXml/itemProps4.xml><?xml version="1.0" encoding="utf-8"?>
<ds:datastoreItem xmlns:ds="http://schemas.openxmlformats.org/officeDocument/2006/customXml" ds:itemID="{AF8DC8D0-117C-429B-A1EA-2FFA4CB6D3C0}">
  <ds:schemaRefs/>
</ds:datastoreItem>
</file>

<file path=customXml/itemProps5.xml><?xml version="1.0" encoding="utf-8"?>
<ds:datastoreItem xmlns:ds="http://schemas.openxmlformats.org/officeDocument/2006/customXml" ds:itemID="{5A8F2273-0C62-4482-9540-045162F03DE7}">
  <ds:schemaRefs/>
</ds:datastoreItem>
</file>

<file path=customXml/itemProps6.xml><?xml version="1.0" encoding="utf-8"?>
<ds:datastoreItem xmlns:ds="http://schemas.openxmlformats.org/officeDocument/2006/customXml" ds:itemID="{E303C384-26FA-4C80-98B7-8F3001BB6DA4}">
  <ds:schemaRefs/>
</ds:datastoreItem>
</file>

<file path=customXml/itemProps7.xml><?xml version="1.0" encoding="utf-8"?>
<ds:datastoreItem xmlns:ds="http://schemas.openxmlformats.org/officeDocument/2006/customXml" ds:itemID="{8980D163-4872-417A-8A44-C89E229F274E}">
  <ds:schemaRefs/>
</ds:datastoreItem>
</file>

<file path=customXml/itemProps8.xml><?xml version="1.0" encoding="utf-8"?>
<ds:datastoreItem xmlns:ds="http://schemas.openxmlformats.org/officeDocument/2006/customXml" ds:itemID="{B7A73AD6-EF1F-4FBC-B038-C4A2FC753338}">
  <ds:schemaRefs/>
</ds:datastoreItem>
</file>

<file path=customXml/itemProps9.xml><?xml version="1.0" encoding="utf-8"?>
<ds:datastoreItem xmlns:ds="http://schemas.openxmlformats.org/officeDocument/2006/customXml" ds:itemID="{AEA47F00-5760-42A2-9624-964F0836C591}">
  <ds:schemaRefs/>
</ds:datastoreItem>
</file>

<file path=customXml/itemProps10.xml><?xml version="1.0" encoding="utf-8"?>
<ds:datastoreItem xmlns:ds="http://schemas.openxmlformats.org/officeDocument/2006/customXml" ds:itemID="{8BEFF64C-22FB-4779-8C6B-98D8AF3BD86F}">
  <ds:schemaRefs/>
</ds:datastoreItem>
</file>

<file path=customXml/itemProps11.xml><?xml version="1.0" encoding="utf-8"?>
<ds:datastoreItem xmlns:ds="http://schemas.openxmlformats.org/officeDocument/2006/customXml" ds:itemID="{A22953E1-FE9C-4567-8E2D-654B989E2E61}">
  <ds:schemaRefs/>
</ds:datastoreItem>
</file>

<file path=customXml/itemProps12.xml><?xml version="1.0" encoding="utf-8"?>
<ds:datastoreItem xmlns:ds="http://schemas.openxmlformats.org/officeDocument/2006/customXml" ds:itemID="{A71D4C62-DB1E-4646-B129-263A6F32E220}">
  <ds:schemaRefs/>
</ds:datastoreItem>
</file>

<file path=customXml/itemProps13.xml><?xml version="1.0" encoding="utf-8"?>
<ds:datastoreItem xmlns:ds="http://schemas.openxmlformats.org/officeDocument/2006/customXml" ds:itemID="{4B1F3735-792E-4246-B44A-99ACCCD4630B}">
  <ds:schemaRefs/>
</ds:datastoreItem>
</file>

<file path=customXml/itemProps14.xml><?xml version="1.0" encoding="utf-8"?>
<ds:datastoreItem xmlns:ds="http://schemas.openxmlformats.org/officeDocument/2006/customXml" ds:itemID="{01DF5C7C-604A-4552-9290-F2476F5110EA}">
  <ds:schemaRefs/>
</ds:datastoreItem>
</file>

<file path=customXml/itemProps15.xml><?xml version="1.0" encoding="utf-8"?>
<ds:datastoreItem xmlns:ds="http://schemas.openxmlformats.org/officeDocument/2006/customXml" ds:itemID="{CB7521E7-41C7-4EA5-B376-DE3A1647F9BC}">
  <ds:schemaRefs/>
</ds:datastoreItem>
</file>

<file path=customXml/itemProps16.xml><?xml version="1.0" encoding="utf-8"?>
<ds:datastoreItem xmlns:ds="http://schemas.openxmlformats.org/officeDocument/2006/customXml" ds:itemID="{4C356401-3A35-4334-A127-2534F0D2378D}">
  <ds:schemaRefs/>
</ds:datastoreItem>
</file>

<file path=customXml/itemProps17.xml><?xml version="1.0" encoding="utf-8"?>
<ds:datastoreItem xmlns:ds="http://schemas.openxmlformats.org/officeDocument/2006/customXml" ds:itemID="{872F97D2-5A4D-4AD1-B53E-1E309FEF99E9}">
  <ds:schemaRefs/>
</ds:datastoreItem>
</file>

<file path=customXml/itemProps18.xml><?xml version="1.0" encoding="utf-8"?>
<ds:datastoreItem xmlns:ds="http://schemas.openxmlformats.org/officeDocument/2006/customXml" ds:itemID="{A7243AB2-21D6-42FF-8DF4-854F509E2A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Messy_Data</vt:lpstr>
      <vt:lpstr>Clean_Data</vt:lpstr>
      <vt:lpstr>Tables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Shubhradeep Das</dc:creator>
  <cp:lastModifiedBy>Shubhradeep Das</cp:lastModifiedBy>
  <dcterms:created xsi:type="dcterms:W3CDTF">2026-01-30T16:40:00Z</dcterms:created>
  <dcterms:modified xsi:type="dcterms:W3CDTF">2026-02-10T05:37:49Z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7A8CE3BCA66B48E8856A3377C69055DA_12</vt:lpwstr>
  </property>
  <property fmtid="{D5CDD505-2E9C-101B-9397-08002B2CF9AE}" pid="3" name="KSOProductBuildVer">
    <vt:lpwstr>1033-12.2.0.23196</vt:lpwstr>
  </property>
</Properties>
</file>